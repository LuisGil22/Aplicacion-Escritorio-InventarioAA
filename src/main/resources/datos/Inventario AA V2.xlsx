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4.xml.rels" ContentType="application/vnd.openxmlformats-package.relationship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pivotTables/pivotTable1.xml" ContentType="application/vnd.openxmlformats-officedocument.spreadsheetml.pivotTable+xml"/>
  <Override PartName="/xl/pivotTables/_rels/pivotTable1.xml.rels" ContentType="application/vnd.openxmlformats-package.relationships+xml"/>
  <Override PartName="/xl/sharedStrings.xml" ContentType="application/vnd.openxmlformats-officedocument.spreadsheetml.sharedString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_rels/drawing3.xml.rels" ContentType="application/vnd.openxmlformats-package.relationships+xml"/>
  <Override PartName="/xl/media/image1.png" ContentType="image/png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Resumen" sheetId="1" state="visible" r:id="rId3"/>
    <sheet name="Cassette" sheetId="2" state="visible" r:id="rId4"/>
    <sheet name="Condensadoras" sheetId="3" state="visible" r:id="rId5"/>
    <sheet name="Gases" sheetId="4" state="visible" r:id="rId6"/>
    <sheet name="AVERIAS" sheetId="5" state="visible" r:id="rId7"/>
    <sheet name="PARAM_GASES" sheetId="6" state="visible" r:id="rId8"/>
    <sheet name="PARAM_MARCAS" sheetId="7" state="visible" r:id="rId9"/>
    <sheet name="PARAM_MODELOS_CAS" sheetId="8" state="visible" r:id="rId10"/>
    <sheet name="PARAM_MODELOS_COND" sheetId="9" state="visible" r:id="rId11"/>
    <sheet name="PARAM_PLANTAS" sheetId="10" state="visible" r:id="rId12"/>
    <sheet name="PARAM_LOC_COND" sheetId="11" state="visible" r:id="rId13"/>
    <sheet name="PARAM_UBICACIONES_CASSETTES" sheetId="12" state="visible" r:id="rId14"/>
    <sheet name="PARAM_ESTADO" sheetId="13" state="visible" r:id="rId15"/>
    <sheet name="PARAM_CORREOS_ELECTRONICOS" sheetId="14" state="visible" r:id="rId16"/>
    <sheet name="REVISIONES" sheetId="15" state="visible" r:id="rId17"/>
    <sheet name="PARAM_DIAS_REVISION" sheetId="16" state="visible" r:id="rId18"/>
  </sheets>
  <definedNames>
    <definedName function="false" hidden="true" localSheetId="1" name="_xlnm._FilterDatabase" vbProcedure="false">Cassette!$A$1:$L$106</definedName>
    <definedName function="false" hidden="true" localSheetId="2" name="_xlnm._FilterDatabase" vbProcedure="false">Condensadoras!$A$1:$M$33</definedName>
  </definedNames>
  <calcPr iterateCount="100" refMode="A1" iterate="false" iterateDelta="0.0001"/>
  <pivotCaches>
    <pivotCache cacheId="1" r:id="rId20"/>
  </pivotCaches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tc={7E2F94D3-46A5-468F-8832-FEE4053C771E}</author>
  </authors>
  <commentList>
    <comment ref="I32" authorId="0">
      <text>
        <r>
          <rPr>
            <sz val="10"/>
            <rFont val="Arial"/>
            <family val="2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@Quim Gil si necesitas algo al movil.. Que tengo que salir de mi sitio</t>
        </r>
      </text>
    </comment>
  </commentList>
</comments>
</file>

<file path=xl/sharedStrings.xml><?xml version="1.0" encoding="utf-8"?>
<sst xmlns="http://schemas.openxmlformats.org/spreadsheetml/2006/main" count="1209" uniqueCount="251">
  <si>
    <t xml:space="preserve">(vacío)</t>
  </si>
  <si>
    <t xml:space="preserve">GAS</t>
  </si>
  <si>
    <t xml:space="preserve">CONDENSADORA</t>
  </si>
  <si>
    <t xml:space="preserve">NOMBRE</t>
  </si>
  <si>
    <t xml:space="preserve">R-410A</t>
  </si>
  <si>
    <t xml:space="preserve">R-32</t>
  </si>
  <si>
    <t xml:space="preserve">R-407</t>
  </si>
  <si>
    <t xml:space="preserve">Total Resultado</t>
  </si>
  <si>
    <t xml:space="preserve">A</t>
  </si>
  <si>
    <t xml:space="preserve">Informática</t>
  </si>
  <si>
    <t xml:space="preserve">Jose Maria</t>
  </si>
  <si>
    <t xml:space="preserve">Jurídico</t>
  </si>
  <si>
    <t xml:space="preserve">Office 4a planta</t>
  </si>
  <si>
    <t xml:space="preserve">Pasillo</t>
  </si>
  <si>
    <t xml:space="preserve">Secretaria direción</t>
  </si>
  <si>
    <t xml:space="preserve">Sr Jaume</t>
  </si>
  <si>
    <t xml:space="preserve">Toni font</t>
  </si>
  <si>
    <t xml:space="preserve">Vestidor</t>
  </si>
  <si>
    <t xml:space="preserve">Sala Reuniones IT</t>
  </si>
  <si>
    <t xml:space="preserve">Ruben Masip</t>
  </si>
  <si>
    <t xml:space="preserve">AA</t>
  </si>
  <si>
    <t xml:space="preserve">Sala Reuniones DUM</t>
  </si>
  <si>
    <t xml:space="preserve">Pasillo DUM</t>
  </si>
  <si>
    <t xml:space="preserve">Roger AMK1</t>
  </si>
  <si>
    <t xml:space="preserve">AMK2</t>
  </si>
  <si>
    <t xml:space="preserve">Despacho 2 DUM</t>
  </si>
  <si>
    <t xml:space="preserve">Pool DUM</t>
  </si>
  <si>
    <t xml:space="preserve">Gerencia DUM</t>
  </si>
  <si>
    <t xml:space="preserve">Office DUM</t>
  </si>
  <si>
    <t xml:space="preserve">B</t>
  </si>
  <si>
    <t xml:space="preserve">Polivalente 1</t>
  </si>
  <si>
    <t xml:space="preserve">Despatx Oriol</t>
  </si>
  <si>
    <t xml:space="preserve">Despatx Mimi</t>
  </si>
  <si>
    <t xml:space="preserve">Despatx Iñaki</t>
  </si>
  <si>
    <t xml:space="preserve">Conchi</t>
  </si>
  <si>
    <t xml:space="preserve">Tania</t>
  </si>
  <si>
    <t xml:space="preserve">Despatx Gemma Peris</t>
  </si>
  <si>
    <t xml:space="preserve">Sala Intermedia CLUB/DUM</t>
  </si>
  <si>
    <t xml:space="preserve">Entrada Club</t>
  </si>
  <si>
    <t xml:space="preserve">Pasillo Markant</t>
  </si>
  <si>
    <t xml:space="preserve">C</t>
  </si>
  <si>
    <t xml:space="preserve">Auditores</t>
  </si>
  <si>
    <t xml:space="preserve">Ana Rion</t>
  </si>
  <si>
    <t xml:space="preserve">Juana</t>
  </si>
  <si>
    <t xml:space="preserve">Jaume Font sostre</t>
  </si>
  <si>
    <t xml:space="preserve">Elena</t>
  </si>
  <si>
    <t xml:space="preserve">Esther</t>
  </si>
  <si>
    <t xml:space="preserve">Biblioteca 1</t>
  </si>
  <si>
    <t xml:space="preserve">Anna fossas</t>
  </si>
  <si>
    <t xml:space="preserve">Biblioteca 2</t>
  </si>
  <si>
    <t xml:space="preserve">Archivo 43</t>
  </si>
  <si>
    <t xml:space="preserve">Roser</t>
  </si>
  <si>
    <t xml:space="preserve">Santi</t>
  </si>
  <si>
    <t xml:space="preserve">CON1</t>
  </si>
  <si>
    <t xml:space="preserve">Sala consejo 1</t>
  </si>
  <si>
    <t xml:space="preserve">CON2</t>
  </si>
  <si>
    <t xml:space="preserve">Sala consejo 2</t>
  </si>
  <si>
    <t xml:space="preserve">E</t>
  </si>
  <si>
    <t xml:space="preserve">Recepción Olivera</t>
  </si>
  <si>
    <t xml:space="preserve">Seguridad</t>
  </si>
  <si>
    <t xml:space="preserve">Recepción carretera</t>
  </si>
  <si>
    <t xml:space="preserve">Sala perfumeria PB</t>
  </si>
  <si>
    <t xml:space="preserve">Exposición</t>
  </si>
  <si>
    <t xml:space="preserve">Mantenimiento</t>
  </si>
  <si>
    <t xml:space="preserve">F</t>
  </si>
  <si>
    <t xml:space="preserve">Albert Sala</t>
  </si>
  <si>
    <t xml:space="preserve">Cande</t>
  </si>
  <si>
    <t xml:space="preserve">Office 1a planta</t>
  </si>
  <si>
    <t xml:space="preserve">Agustin Turiel</t>
  </si>
  <si>
    <t xml:space="preserve">G</t>
  </si>
  <si>
    <t xml:space="preserve">José Moreno</t>
  </si>
  <si>
    <t xml:space="preserve">Julio</t>
  </si>
  <si>
    <t xml:space="preserve">Josep Martinez</t>
  </si>
  <si>
    <t xml:space="preserve">Ferran</t>
  </si>
  <si>
    <t xml:space="preserve">Ana Pastor</t>
  </si>
  <si>
    <t xml:space="preserve">Begoña</t>
  </si>
  <si>
    <t xml:space="preserve">Carlos Alegre</t>
  </si>
  <si>
    <t xml:space="preserve">Comedor 1</t>
  </si>
  <si>
    <t xml:space="preserve">Comedor 2 </t>
  </si>
  <si>
    <t xml:space="preserve">Laura Serra</t>
  </si>
  <si>
    <t xml:space="preserve">Jose Roldán</t>
  </si>
  <si>
    <t xml:space="preserve">I</t>
  </si>
  <si>
    <t xml:space="preserve">Polivalente 2</t>
  </si>
  <si>
    <t xml:space="preserve">Sala gerencia</t>
  </si>
  <si>
    <t xml:space="preserve">J</t>
  </si>
  <si>
    <t xml:space="preserve">Sr Jaume suelo pared</t>
  </si>
  <si>
    <t xml:space="preserve">L</t>
  </si>
  <si>
    <t xml:space="preserve">Sala Servidores - Aire 1</t>
  </si>
  <si>
    <t xml:space="preserve">M</t>
  </si>
  <si>
    <t xml:space="preserve">Sala Servidores - Aire 2</t>
  </si>
  <si>
    <t xml:space="preserve">N</t>
  </si>
  <si>
    <t xml:space="preserve">Sala Servidores - Aire 3</t>
  </si>
  <si>
    <t xml:space="preserve">O</t>
  </si>
  <si>
    <t xml:space="preserve">Roge (encima suyo)</t>
  </si>
  <si>
    <t xml:space="preserve">P</t>
  </si>
  <si>
    <t xml:space="preserve">Joaquin</t>
  </si>
  <si>
    <t xml:space="preserve">PB4</t>
  </si>
  <si>
    <t xml:space="preserve">Cocina</t>
  </si>
  <si>
    <t xml:space="preserve">Q</t>
  </si>
  <si>
    <t xml:space="preserve">David</t>
  </si>
  <si>
    <t xml:space="preserve">S</t>
  </si>
  <si>
    <t xml:space="preserve">Mitad PC</t>
  </si>
  <si>
    <t xml:space="preserve">T</t>
  </si>
  <si>
    <t xml:space="preserve">U</t>
  </si>
  <si>
    <t xml:space="preserve">Recibidor Anna Fossas</t>
  </si>
  <si>
    <t xml:space="preserve">V</t>
  </si>
  <si>
    <t xml:space="preserve">Adrian Gil</t>
  </si>
  <si>
    <t xml:space="preserve">W</t>
  </si>
  <si>
    <t xml:space="preserve">Anna Pastor</t>
  </si>
  <si>
    <t xml:space="preserve">X</t>
  </si>
  <si>
    <t xml:space="preserve">Jaume Font Pared</t>
  </si>
  <si>
    <t xml:space="preserve">Comedor 1 - entrando derecha</t>
  </si>
  <si>
    <t xml:space="preserve">Comedor 2 - entrando derecha</t>
  </si>
  <si>
    <t xml:space="preserve">Firmadora</t>
  </si>
  <si>
    <t xml:space="preserve">Yolanda Romo</t>
  </si>
  <si>
    <t xml:space="preserve">Esther Quintela</t>
  </si>
  <si>
    <t xml:space="preserve">Y</t>
  </si>
  <si>
    <t xml:space="preserve">Fede</t>
  </si>
  <si>
    <t xml:space="preserve">Patri</t>
  </si>
  <si>
    <t xml:space="preserve">Parral</t>
  </si>
  <si>
    <t xml:space="preserve">LIBRE</t>
  </si>
  <si>
    <t xml:space="preserve">Z</t>
  </si>
  <si>
    <t xml:space="preserve">Avellaneda</t>
  </si>
  <si>
    <t xml:space="preserve">Raul/Malala</t>
  </si>
  <si>
    <t xml:space="preserve">Ortigosa</t>
  </si>
  <si>
    <t xml:space="preserve">Luis Martinez</t>
  </si>
  <si>
    <t xml:space="preserve">Sala Comercial</t>
  </si>
  <si>
    <t xml:space="preserve">Lado Gestor Socio</t>
  </si>
  <si>
    <t xml:space="preserve">NUM_CASSETTE</t>
  </si>
  <si>
    <t xml:space="preserve">NUM_SECUENCIA</t>
  </si>
  <si>
    <t xml:space="preserve">ESTADO</t>
  </si>
  <si>
    <t xml:space="preserve">PLANTA</t>
  </si>
  <si>
    <t xml:space="preserve">POTENCIA_CALOR</t>
  </si>
  <si>
    <t xml:space="preserve">POTENCIA_FRIO</t>
  </si>
  <si>
    <t xml:space="preserve">MARCA/MODELO</t>
  </si>
  <si>
    <t xml:space="preserve">NUM_SERIE_CAS</t>
  </si>
  <si>
    <t xml:space="preserve">LOCALIZACIÓN_CONDENSADORA</t>
  </si>
  <si>
    <t xml:space="preserve">FECHA_INSTALACION</t>
  </si>
  <si>
    <t xml:space="preserve">FECHA_BAJA</t>
  </si>
  <si>
    <t xml:space="preserve">FECHA_REVISION</t>
  </si>
  <si>
    <t xml:space="preserve">AVERIA</t>
  </si>
  <si>
    <t xml:space="preserve">FOTO</t>
  </si>
  <si>
    <t xml:space="preserve">OBSERVACIONES</t>
  </si>
  <si>
    <t xml:space="preserve">ACTIVA</t>
  </si>
  <si>
    <t xml:space="preserve">1 Planta</t>
  </si>
  <si>
    <t xml:space="preserve">01/01/2007</t>
  </si>
  <si>
    <t xml:space="preserve">29/12/2026</t>
  </si>
  <si>
    <t xml:space="preserve">28/12/2026</t>
  </si>
  <si>
    <t xml:space="preserve">27/12/2026</t>
  </si>
  <si>
    <t xml:space="preserve">30/12/2026</t>
  </si>
  <si>
    <t xml:space="preserve">F15</t>
  </si>
  <si>
    <t xml:space="preserve">F10</t>
  </si>
  <si>
    <t xml:space="preserve">37,5 kw</t>
  </si>
  <si>
    <t xml:space="preserve">33,5 kw</t>
  </si>
  <si>
    <t xml:space="preserve">PUMY-P300YBM2</t>
  </si>
  <si>
    <t xml:space="preserve">01/01/2012</t>
  </si>
  <si>
    <t xml:space="preserve">2 Planta</t>
  </si>
  <si>
    <t xml:space="preserve">F12</t>
  </si>
  <si>
    <t xml:space="preserve">F13</t>
  </si>
  <si>
    <t xml:space="preserve">F14</t>
  </si>
  <si>
    <t xml:space="preserve">F11</t>
  </si>
  <si>
    <t xml:space="preserve">F9</t>
  </si>
  <si>
    <t xml:space="preserve">3 Planta</t>
  </si>
  <si>
    <t xml:space="preserve">PURY-P300YNWa2</t>
  </si>
  <si>
    <t xml:space="preserve">F2</t>
  </si>
  <si>
    <t xml:space="preserve">F7</t>
  </si>
  <si>
    <t xml:space="preserve">F8</t>
  </si>
  <si>
    <t xml:space="preserve">4 Planta</t>
  </si>
  <si>
    <t xml:space="preserve">F5</t>
  </si>
  <si>
    <t xml:space="preserve">01/01/2015</t>
  </si>
  <si>
    <t xml:space="preserve">F6</t>
  </si>
  <si>
    <t xml:space="preserve">F1</t>
  </si>
  <si>
    <t xml:space="preserve">F3</t>
  </si>
  <si>
    <t xml:space="preserve">F4</t>
  </si>
  <si>
    <t xml:space="preserve">Planta Baja</t>
  </si>
  <si>
    <t xml:space="preserve">F18</t>
  </si>
  <si>
    <t xml:space="preserve">F16</t>
  </si>
  <si>
    <t xml:space="preserve">F17</t>
  </si>
  <si>
    <t xml:space="preserve">MARCA</t>
  </si>
  <si>
    <t xml:space="preserve">MODEL</t>
  </si>
  <si>
    <t xml:space="preserve">NUM_SERIE_COND</t>
  </si>
  <si>
    <t xml:space="preserve">MITSUBISHI</t>
  </si>
  <si>
    <t xml:space="preserve">Azotea - Detrás</t>
  </si>
  <si>
    <t xml:space="preserve">Posible fecha sin verificar</t>
  </si>
  <si>
    <t xml:space="preserve">PURY-P300YNW-A</t>
  </si>
  <si>
    <t xml:space="preserve">Azotea-Otra Porteria</t>
  </si>
  <si>
    <t xml:space="preserve">17/06/2025</t>
  </si>
  <si>
    <t xml:space="preserve">17/06/2026</t>
  </si>
  <si>
    <t xml:space="preserve">SUZ-SM71VA</t>
  </si>
  <si>
    <t xml:space="preserve">D</t>
  </si>
  <si>
    <t xml:space="preserve">DESINSTALADO 2024</t>
  </si>
  <si>
    <t xml:space="preserve">SUZ-KA50VA</t>
  </si>
  <si>
    <t xml:space="preserve">Azotea - Frente</t>
  </si>
  <si>
    <t xml:space="preserve">JA1</t>
  </si>
  <si>
    <t xml:space="preserve">Azotea-Detrás</t>
  </si>
  <si>
    <t xml:space="preserve">R-22</t>
  </si>
  <si>
    <t xml:space="preserve">K</t>
  </si>
  <si>
    <t xml:space="preserve">PUHZ-RP140YKA</t>
  </si>
  <si>
    <t xml:space="preserve">01/01/2006</t>
  </si>
  <si>
    <t xml:space="preserve">SUZ-M50VA</t>
  </si>
  <si>
    <t xml:space="preserve">01/01/2020</t>
  </si>
  <si>
    <t xml:space="preserve">SUZ-M35VA</t>
  </si>
  <si>
    <t xml:space="preserve">PB2</t>
  </si>
  <si>
    <t xml:space="preserve">Linea Amarilla</t>
  </si>
  <si>
    <t xml:space="preserve">PB3</t>
  </si>
  <si>
    <t xml:space="preserve">Linea Roja</t>
  </si>
  <si>
    <t xml:space="preserve">Patio Olivera</t>
  </si>
  <si>
    <t xml:space="preserve">01/07/2024</t>
  </si>
  <si>
    <t xml:space="preserve">01/07/2026</t>
  </si>
  <si>
    <t xml:space="preserve">R</t>
  </si>
  <si>
    <t xml:space="preserve">SUZ-KA60VA2</t>
  </si>
  <si>
    <t xml:space="preserve">KA35VA6</t>
  </si>
  <si>
    <t xml:space="preserve">02/08/2024</t>
  </si>
  <si>
    <t xml:space="preserve">02/08/2026</t>
  </si>
  <si>
    <t xml:space="preserve">PUMY-P300YBM</t>
  </si>
  <si>
    <t xml:space="preserve">Según Mitsubishi</t>
  </si>
  <si>
    <t xml:space="preserve">Según Toshiba</t>
  </si>
  <si>
    <t xml:space="preserve">Toshiba diu:</t>
  </si>
  <si>
    <t xml:space="preserve">PCG/PCA</t>
  </si>
  <si>
    <t xml:space="preserve">Venta</t>
  </si>
  <si>
    <t xml:space="preserve">1. Fabricació d´equips VRF amb R410A fins 1/gener/2029</t>
  </si>
  <si>
    <t xml:space="preserve">Anteriores</t>
  </si>
  <si>
    <t xml:space="preserve">2. Fabricació d´equips VRF amb R32 fins 1/gener/2033</t>
  </si>
  <si>
    <t xml:space="preserve">3. Disponibilitat de R410A i R32 per manteniments. Disponible fins 2050 amb una reducció de la quota d´importació molt important fins el 2030 i després paulatina. Hi haurà un increment de disponibilitat de R410A com a gas regenerat (no verge).</t>
  </si>
  <si>
    <t xml:space="preserve">????</t>
  </si>
  <si>
    <t xml:space="preserve">mínimo 2030</t>
  </si>
  <si>
    <t xml:space="preserve">2050 ???</t>
  </si>
  <si>
    <t xml:space="preserve">sustituye R410A</t>
  </si>
  <si>
    <t xml:space="preserve">NUM_AVERIA</t>
  </si>
  <si>
    <t xml:space="preserve">ACCION_DE_REPARADA</t>
  </si>
  <si>
    <t xml:space="preserve">EQUIPO_AVERIADO</t>
  </si>
  <si>
    <t xml:space="preserve">CODIGO</t>
  </si>
  <si>
    <t xml:space="preserve">LOCALIZACION</t>
  </si>
  <si>
    <t xml:space="preserve">FECHA_AVERIA</t>
  </si>
  <si>
    <t xml:space="preserve">MAIL_ENVIADO</t>
  </si>
  <si>
    <t xml:space="preserve">FECHA CADUCIDAD</t>
  </si>
  <si>
    <t xml:space="preserve">FECHA REVISION</t>
  </si>
  <si>
    <t xml:space="preserve">DESCRIPCION</t>
  </si>
  <si>
    <t xml:space="preserve">MODELO</t>
  </si>
  <si>
    <t xml:space="preserve">LOCALIZACION_CONDENSADORA</t>
  </si>
  <si>
    <t xml:space="preserve">Joaquin </t>
  </si>
  <si>
    <t xml:space="preserve">BAJA</t>
  </si>
  <si>
    <t xml:space="preserve">AVERIADO</t>
  </si>
  <si>
    <t xml:space="preserve">REPARADO</t>
  </si>
  <si>
    <t xml:space="preserve">CORREOS ELECTRONICOS</t>
  </si>
  <si>
    <t xml:space="preserve">qgil@euromadi.es</t>
  </si>
  <si>
    <t xml:space="preserve">NUM_REVISION</t>
  </si>
  <si>
    <t xml:space="preserve">REVISADO</t>
  </si>
  <si>
    <t xml:space="preserve">EQUIPO</t>
  </si>
  <si>
    <t xml:space="preserve">ENVIAR_MAIL</t>
  </si>
  <si>
    <t xml:space="preserve">DIAS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</si>
</sst>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000"/>
    <numFmt numFmtId="166" formatCode="dd/mm/yyyy"/>
    <numFmt numFmtId="167" formatCode="0.0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  <font>
      <i val="true"/>
      <u val="single"/>
      <sz val="11"/>
      <color theme="1"/>
      <name val="Calibri"/>
      <family val="2"/>
      <charset val="1"/>
    </font>
    <font>
      <u val="single"/>
      <sz val="11"/>
      <color theme="1"/>
      <name val="Calibri"/>
      <family val="2"/>
      <charset val="1"/>
    </font>
    <font>
      <sz val="10"/>
      <name val="Arial"/>
      <family val="2"/>
    </font>
    <font>
      <sz val="12"/>
      <color theme="1"/>
      <name val="Aptos"/>
      <family val="2"/>
      <charset val="1"/>
    </font>
    <font>
      <sz val="10"/>
      <color rgb="FF000000"/>
      <name val="Segoe UI"/>
      <family val="2"/>
      <charset val="1"/>
    </font>
    <font>
      <sz val="11"/>
      <color theme="1"/>
      <name val="Aptos"/>
      <family val="2"/>
      <charset val="1"/>
    </font>
    <font>
      <sz val="10"/>
      <color theme="1"/>
      <name val="Liberation Mono;Courier New;DejaVu Sans Mono;Lucida Sans Typewriter"/>
      <family val="3"/>
      <charset val="1"/>
    </font>
  </fonts>
  <fills count="5">
    <fill>
      <patternFill patternType="none"/>
    </fill>
    <fill>
      <patternFill patternType="gray125"/>
    </fill>
    <fill>
      <patternFill patternType="solid">
        <fgColor theme="0" tint="-0.15"/>
        <bgColor rgb="FFC0C0C0"/>
      </patternFill>
    </fill>
    <fill>
      <patternFill patternType="solid">
        <fgColor theme="7" tint="0.7999"/>
        <bgColor rgb="FFFFFFFF"/>
      </patternFill>
    </fill>
    <fill>
      <patternFill patternType="solid">
        <fgColor rgb="FFFFFF00"/>
        <bgColor rgb="FFFFFF00"/>
      </patternFill>
    </fill>
  </fills>
  <borders count="23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1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9" xfId="21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0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1" xfId="21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0" fillId="0" borderId="12" xfId="21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0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21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4" xfId="21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5" xfId="21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6" xfId="21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6" xfId="21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0" fillId="0" borderId="7" xfId="21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7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8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9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0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7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7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6" fillId="3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7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4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center" textRotation="0" wrapText="false" indent="1" shrinkToFit="false"/>
      <protection locked="true" hidden="false"/>
    </xf>
    <xf numFmtId="164" fontId="0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2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2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ampo de la tabla dinámica" xfId="20"/>
    <cellStyle name="Categoría de la tabla dinámica" xfId="21"/>
    <cellStyle name="Esquina de la tabla dinámica" xfId="22"/>
    <cellStyle name="Resultado de la tabla dinámica" xfId="23"/>
    <cellStyle name="Título de la tabla dinámica" xfId="24"/>
    <cellStyle name="Valor de la tabla dinámica" xfId="25"/>
  </cellStyles>
  <dxfs count="44">
    <dxf>
      <fill>
        <patternFill patternType="solid">
          <fgColor rgb="FFD9D9D9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/>
    <dxf/>
    <dxf/>
    <dxf/>
    <dxf/>
    <dxf/>
    <dxf/>
    <dxf/>
    <dxf/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<Relationship Id="rId20" Type="http://schemas.openxmlformats.org/officeDocument/2006/relationships/pivotCacheDefinition" Target="pivotCache/pivotCacheDefinition1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679320</xdr:colOff>
      <xdr:row>8</xdr:row>
      <xdr:rowOff>161640</xdr:rowOff>
    </xdr:from>
    <xdr:to>
      <xdr:col>9</xdr:col>
      <xdr:colOff>50040</xdr:colOff>
      <xdr:row>31</xdr:row>
      <xdr:rowOff>82800</xdr:rowOff>
    </xdr:to>
    <xdr:pic>
      <xdr:nvPicPr>
        <xdr:cNvPr id="0" name="Imagen 1" descr=""/>
        <xdr:cNvPicPr/>
      </xdr:nvPicPr>
      <xdr:blipFill>
        <a:blip r:embed="rId1"/>
        <a:stretch/>
      </xdr:blipFill>
      <xdr:spPr>
        <a:xfrm>
          <a:off x="679320" y="1638000"/>
          <a:ext cx="7378560" cy="40834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05" createdVersion="3">
  <cacheSource type="worksheet">
    <worksheetSource ref="A1:M1276" sheet="Cassette"/>
  </cacheSource>
  <cacheFields count="13">
    <cacheField name="NUM_CASSETTE" numFmtId="0">
      <sharedItems containsBlank="1" containsMixedTypes="1" containsNumber="1" containsInteger="1" minValue="1" maxValue="49" count="68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s v="F1"/>
        <s v="F10"/>
        <s v="F11"/>
        <s v="F12"/>
        <s v="F13"/>
        <s v="F14"/>
        <s v="F15"/>
        <s v="F16"/>
        <s v="F17"/>
        <s v="F18"/>
        <s v="F2"/>
        <s v="F3"/>
        <s v="F4"/>
        <s v="F5"/>
        <s v="F6"/>
        <s v="F7"/>
        <s v="F8"/>
        <s v="F9"/>
        <m/>
      </sharedItems>
    </cacheField>
    <cacheField name="NUM_SECUENCIA" numFmtId="0">
      <sharedItems containsString="0" containsBlank="1" containsNumber="1" containsInteger="1" minValue="1" maxValue="1" count="2">
        <n v="1"/>
        <m/>
      </sharedItems>
    </cacheField>
    <cacheField name="ESTADO" numFmtId="0">
      <sharedItems containsBlank="1" count="2">
        <s v="ACTIVA"/>
        <m/>
      </sharedItems>
    </cacheField>
    <cacheField name="PLANTA" numFmtId="0">
      <sharedItems containsBlank="1" count="6">
        <s v="1 Planta"/>
        <s v="2 Planta"/>
        <s v="3 Planta"/>
        <s v="4 Planta"/>
        <s v="Planta Baja"/>
        <m/>
      </sharedItems>
    </cacheField>
    <cacheField name="NOMBRE" numFmtId="0">
      <sharedItems containsBlank="1" count="95">
        <s v="Adrian Gil"/>
        <s v="Agustin Turiel"/>
        <s v="Albert Sala"/>
        <s v="AMK2"/>
        <s v="Ana Pastor"/>
        <s v="Ana Rion"/>
        <s v="Anna fossas"/>
        <s v="Anna Pastor"/>
        <s v="Archivo 43"/>
        <s v="Auditores"/>
        <s v="Avellaneda"/>
        <s v="Begoña"/>
        <s v="Biblioteca 1"/>
        <s v="Biblioteca 2"/>
        <s v="Cande"/>
        <s v="Carlos Alegre"/>
        <s v="Cocina"/>
        <s v="Comedor 1"/>
        <s v="Comedor 1 - entrando derecha"/>
        <s v="Comedor 2 "/>
        <s v="Comedor 2 - entrando derecha"/>
        <s v="Conchi"/>
        <s v="David"/>
        <s v="Despacho 2 DUM"/>
        <s v="Despatx Gemma Peris"/>
        <s v="Despatx Iñaki"/>
        <s v="Despatx Mimi"/>
        <s v="Despatx Oriol"/>
        <s v="Elena"/>
        <s v="Entrada Club"/>
        <s v="Esther"/>
        <s v="Esther Quintela"/>
        <s v="Exposición"/>
        <s v="Fede"/>
        <s v="Ferran"/>
        <s v="Firmadora"/>
        <s v="Gerencia DUM"/>
        <s v="Informática"/>
        <s v="Jaume Font Pared"/>
        <s v="Jaume Font sostre"/>
        <s v="Joaquin"/>
        <s v="Jose Maria"/>
        <s v="José Moreno"/>
        <s v="Jose Roldán"/>
        <s v="Josep Martinez"/>
        <s v="Juana"/>
        <s v="Julio"/>
        <s v="Jurídico"/>
        <s v="Lado Gestor Socio"/>
        <s v="Laura Serra"/>
        <s v="LIBRE"/>
        <s v="Luis Martinez"/>
        <s v="Mantenimiento"/>
        <s v="Mitad PC"/>
        <s v="Office 1a planta"/>
        <s v="Office 4a planta"/>
        <s v="Office DUM"/>
        <s v="Ortigosa"/>
        <s v="Parral"/>
        <s v="Pasillo"/>
        <s v="Pasillo DUM"/>
        <s v="Pasillo Markant"/>
        <s v="Patri"/>
        <s v="Polivalente 1"/>
        <s v="Polivalente 2"/>
        <s v="Pool DUM"/>
        <s v="Raul/Malala"/>
        <s v="Recepción carretera"/>
        <s v="Recepción Olivera"/>
        <s v="Recibidor Anna Fossas"/>
        <s v="Roge (encima suyo)"/>
        <s v="Roger AMK1"/>
        <s v="Roser"/>
        <s v="Ruben Masip"/>
        <s v="Sala Comercial"/>
        <s v="Sala consejo 1"/>
        <s v="Sala consejo 2"/>
        <s v="Sala gerencia"/>
        <s v="Sala Intermedia CLUB/DUM"/>
        <s v="Sala perfumeria PB"/>
        <s v="Sala Reuniones DUM"/>
        <s v="Sala Reuniones IT"/>
        <s v="Sala Servidores - Aire 1"/>
        <s v="Sala Servidores - Aire 2"/>
        <s v="Sala Servidores - Aire 3"/>
        <s v="Santi"/>
        <s v="Secretaria direción"/>
        <s v="Seguridad"/>
        <s v="Sr Jaume"/>
        <s v="Sr Jaume suelo pared"/>
        <s v="Tania"/>
        <s v="Toni font"/>
        <s v="Vestidor"/>
        <s v="Yolanda Romo"/>
        <m/>
      </sharedItems>
    </cacheField>
    <cacheField name="POTENCIA_CALOR" numFmtId="0">
      <sharedItems containsBlank="1" count="3">
        <s v="33,5 kw"/>
        <s v="37,5 kw"/>
        <m/>
      </sharedItems>
    </cacheField>
    <cacheField name="POTENCIA_FRIO" numFmtId="0">
      <sharedItems containsBlank="1" count="2">
        <s v="33,5 kw"/>
        <m/>
      </sharedItems>
    </cacheField>
    <cacheField name="MARCA/MODELO" numFmtId="0">
      <sharedItems containsBlank="1" count="3">
        <s v="PUMY-P300YBM2"/>
        <s v="PURY-P300YNWa2"/>
        <m/>
      </sharedItems>
    </cacheField>
    <cacheField name="NUM_SERIE_CAS" numFmtId="0">
      <sharedItems containsString="0" containsBlank="1" count="1">
        <m/>
      </sharedItems>
    </cacheField>
    <cacheField name="CONDENSADORA" numFmtId="0">
      <sharedItems containsBlank="1" count="27">
        <s v="A"/>
        <s v="AA"/>
        <s v="B"/>
        <s v="C"/>
        <s v="CON1"/>
        <s v="CON2"/>
        <s v="E"/>
        <s v="F"/>
        <s v="G"/>
        <s v="I"/>
        <s v="J"/>
        <s v="L"/>
        <s v="M"/>
        <s v="N"/>
        <s v="O"/>
        <s v="P"/>
        <s v="PB4"/>
        <s v="Q"/>
        <s v="S"/>
        <s v="T"/>
        <s v="U"/>
        <s v="V"/>
        <s v="W"/>
        <s v="X"/>
        <s v="Y"/>
        <s v="Z"/>
        <m/>
      </sharedItems>
    </cacheField>
    <cacheField name="LOCALIZACIÓN_CONDENSADORA" numFmtId="0">
      <sharedItems containsBlank="1" count="6">
        <s v="Azotea - Detrás"/>
        <s v="Azotea - Frente"/>
        <s v="Azotea-Detrás"/>
        <s v="Azotea-Otra Porteria"/>
        <s v="Patio Olivera"/>
        <m/>
      </sharedItems>
    </cacheField>
    <cacheField name="GAS" numFmtId="0">
      <sharedItems containsBlank="1" count="4">
        <s v="R-32"/>
        <s v="R-407"/>
        <s v="R-410A"/>
        <m/>
      </sharedItems>
    </cacheField>
    <cacheField name="FECHA_INSTALACION" numFmtId="0">
      <sharedItems containsDate="1" containsBlank="1" containsMixedTypes="1" minDate="2006-01-01T00:00:00" maxDate="2020-01-01T00:00:00" count="9">
        <d v="2006-01-01T00:00:00"/>
        <d v="2007-01-01T00:00:00"/>
        <d v="2012-01-01T00:00:00"/>
        <d v="2015-01-01T00:00:00"/>
        <d v="2020-01-01T00:00:00"/>
        <s v="01/01/2007"/>
        <s v="01/01/2012"/>
        <s v="01/01/2015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5">
  <r>
    <x v="13"/>
    <x v="0"/>
    <x v="0"/>
    <x v="0"/>
    <x v="2"/>
    <x v="2"/>
    <x v="1"/>
    <x v="2"/>
    <x v="0"/>
    <x v="7"/>
    <x v="0"/>
    <x v="2"/>
    <x v="5"/>
  </r>
  <r>
    <x v="17"/>
    <x v="0"/>
    <x v="0"/>
    <x v="0"/>
    <x v="54"/>
    <x v="2"/>
    <x v="1"/>
    <x v="2"/>
    <x v="0"/>
    <x v="7"/>
    <x v="0"/>
    <x v="2"/>
    <x v="5"/>
  </r>
  <r>
    <x v="18"/>
    <x v="0"/>
    <x v="0"/>
    <x v="0"/>
    <x v="1"/>
    <x v="2"/>
    <x v="1"/>
    <x v="2"/>
    <x v="0"/>
    <x v="7"/>
    <x v="0"/>
    <x v="2"/>
    <x v="5"/>
  </r>
  <r>
    <x v="20"/>
    <x v="0"/>
    <x v="0"/>
    <x v="0"/>
    <x v="14"/>
    <x v="2"/>
    <x v="1"/>
    <x v="2"/>
    <x v="0"/>
    <x v="7"/>
    <x v="0"/>
    <x v="2"/>
    <x v="5"/>
  </r>
  <r>
    <x v="8"/>
    <x v="0"/>
    <x v="0"/>
    <x v="0"/>
    <x v="34"/>
    <x v="2"/>
    <x v="1"/>
    <x v="2"/>
    <x v="0"/>
    <x v="8"/>
    <x v="0"/>
    <x v="2"/>
    <x v="5"/>
  </r>
  <r>
    <x v="9"/>
    <x v="0"/>
    <x v="0"/>
    <x v="0"/>
    <x v="42"/>
    <x v="2"/>
    <x v="1"/>
    <x v="2"/>
    <x v="0"/>
    <x v="8"/>
    <x v="0"/>
    <x v="2"/>
    <x v="5"/>
  </r>
  <r>
    <x v="10"/>
    <x v="0"/>
    <x v="0"/>
    <x v="0"/>
    <x v="46"/>
    <x v="2"/>
    <x v="1"/>
    <x v="2"/>
    <x v="0"/>
    <x v="8"/>
    <x v="0"/>
    <x v="2"/>
    <x v="5"/>
  </r>
  <r>
    <x v="10"/>
    <x v="0"/>
    <x v="0"/>
    <x v="0"/>
    <x v="49"/>
    <x v="2"/>
    <x v="1"/>
    <x v="2"/>
    <x v="0"/>
    <x v="8"/>
    <x v="0"/>
    <x v="2"/>
    <x v="1"/>
  </r>
  <r>
    <x v="11"/>
    <x v="0"/>
    <x v="0"/>
    <x v="0"/>
    <x v="44"/>
    <x v="2"/>
    <x v="1"/>
    <x v="2"/>
    <x v="0"/>
    <x v="8"/>
    <x v="0"/>
    <x v="2"/>
    <x v="5"/>
  </r>
  <r>
    <x v="12"/>
    <x v="0"/>
    <x v="0"/>
    <x v="0"/>
    <x v="43"/>
    <x v="2"/>
    <x v="1"/>
    <x v="2"/>
    <x v="0"/>
    <x v="8"/>
    <x v="0"/>
    <x v="2"/>
    <x v="5"/>
  </r>
  <r>
    <x v="13"/>
    <x v="0"/>
    <x v="0"/>
    <x v="0"/>
    <x v="4"/>
    <x v="2"/>
    <x v="1"/>
    <x v="2"/>
    <x v="0"/>
    <x v="8"/>
    <x v="0"/>
    <x v="2"/>
    <x v="1"/>
  </r>
  <r>
    <x v="14"/>
    <x v="0"/>
    <x v="0"/>
    <x v="0"/>
    <x v="11"/>
    <x v="2"/>
    <x v="1"/>
    <x v="2"/>
    <x v="0"/>
    <x v="8"/>
    <x v="0"/>
    <x v="2"/>
    <x v="5"/>
  </r>
  <r>
    <x v="15"/>
    <x v="0"/>
    <x v="0"/>
    <x v="0"/>
    <x v="15"/>
    <x v="2"/>
    <x v="1"/>
    <x v="2"/>
    <x v="0"/>
    <x v="8"/>
    <x v="0"/>
    <x v="2"/>
    <x v="5"/>
  </r>
  <r>
    <x v="16"/>
    <x v="0"/>
    <x v="0"/>
    <x v="0"/>
    <x v="1"/>
    <x v="2"/>
    <x v="1"/>
    <x v="2"/>
    <x v="0"/>
    <x v="8"/>
    <x v="0"/>
    <x v="2"/>
    <x v="8"/>
  </r>
  <r>
    <x v="55"/>
    <x v="0"/>
    <x v="0"/>
    <x v="0"/>
    <x v="0"/>
    <x v="2"/>
    <x v="1"/>
    <x v="2"/>
    <x v="0"/>
    <x v="21"/>
    <x v="4"/>
    <x v="2"/>
    <x v="8"/>
  </r>
  <r>
    <x v="39"/>
    <x v="0"/>
    <x v="0"/>
    <x v="0"/>
    <x v="7"/>
    <x v="2"/>
    <x v="1"/>
    <x v="2"/>
    <x v="0"/>
    <x v="22"/>
    <x v="4"/>
    <x v="0"/>
    <x v="8"/>
  </r>
  <r>
    <x v="50"/>
    <x v="0"/>
    <x v="0"/>
    <x v="0"/>
    <x v="93"/>
    <x v="2"/>
    <x v="1"/>
    <x v="2"/>
    <x v="0"/>
    <x v="23"/>
    <x v="2"/>
    <x v="2"/>
    <x v="8"/>
  </r>
  <r>
    <x v="44"/>
    <x v="0"/>
    <x v="0"/>
    <x v="0"/>
    <x v="57"/>
    <x v="1"/>
    <x v="0"/>
    <x v="0"/>
    <x v="0"/>
    <x v="25"/>
    <x v="0"/>
    <x v="2"/>
    <x v="8"/>
  </r>
  <r>
    <x v="45"/>
    <x v="0"/>
    <x v="0"/>
    <x v="0"/>
    <x v="74"/>
    <x v="1"/>
    <x v="0"/>
    <x v="0"/>
    <x v="0"/>
    <x v="25"/>
    <x v="0"/>
    <x v="2"/>
    <x v="8"/>
  </r>
  <r>
    <x v="46"/>
    <x v="0"/>
    <x v="0"/>
    <x v="0"/>
    <x v="10"/>
    <x v="1"/>
    <x v="0"/>
    <x v="0"/>
    <x v="0"/>
    <x v="25"/>
    <x v="0"/>
    <x v="2"/>
    <x v="8"/>
  </r>
  <r>
    <x v="47"/>
    <x v="0"/>
    <x v="0"/>
    <x v="0"/>
    <x v="48"/>
    <x v="1"/>
    <x v="0"/>
    <x v="0"/>
    <x v="0"/>
    <x v="25"/>
    <x v="0"/>
    <x v="2"/>
    <x v="8"/>
  </r>
  <r>
    <x v="48"/>
    <x v="0"/>
    <x v="0"/>
    <x v="0"/>
    <x v="51"/>
    <x v="1"/>
    <x v="0"/>
    <x v="0"/>
    <x v="0"/>
    <x v="25"/>
    <x v="0"/>
    <x v="2"/>
    <x v="6"/>
  </r>
  <r>
    <x v="31"/>
    <x v="0"/>
    <x v="0"/>
    <x v="1"/>
    <x v="9"/>
    <x v="2"/>
    <x v="1"/>
    <x v="2"/>
    <x v="0"/>
    <x v="3"/>
    <x v="0"/>
    <x v="2"/>
    <x v="6"/>
  </r>
  <r>
    <x v="32"/>
    <x v="0"/>
    <x v="0"/>
    <x v="1"/>
    <x v="5"/>
    <x v="2"/>
    <x v="1"/>
    <x v="2"/>
    <x v="0"/>
    <x v="3"/>
    <x v="0"/>
    <x v="2"/>
    <x v="6"/>
  </r>
  <r>
    <x v="33"/>
    <x v="0"/>
    <x v="0"/>
    <x v="1"/>
    <x v="85"/>
    <x v="2"/>
    <x v="1"/>
    <x v="2"/>
    <x v="0"/>
    <x v="3"/>
    <x v="0"/>
    <x v="2"/>
    <x v="6"/>
  </r>
  <r>
    <x v="34"/>
    <x v="0"/>
    <x v="0"/>
    <x v="1"/>
    <x v="72"/>
    <x v="2"/>
    <x v="1"/>
    <x v="2"/>
    <x v="0"/>
    <x v="3"/>
    <x v="0"/>
    <x v="2"/>
    <x v="6"/>
  </r>
  <r>
    <x v="35"/>
    <x v="0"/>
    <x v="0"/>
    <x v="1"/>
    <x v="45"/>
    <x v="2"/>
    <x v="1"/>
    <x v="2"/>
    <x v="0"/>
    <x v="3"/>
    <x v="0"/>
    <x v="2"/>
    <x v="6"/>
  </r>
  <r>
    <x v="36"/>
    <x v="0"/>
    <x v="0"/>
    <x v="1"/>
    <x v="39"/>
    <x v="2"/>
    <x v="1"/>
    <x v="2"/>
    <x v="0"/>
    <x v="3"/>
    <x v="0"/>
    <x v="2"/>
    <x v="6"/>
  </r>
  <r>
    <x v="37"/>
    <x v="0"/>
    <x v="0"/>
    <x v="1"/>
    <x v="28"/>
    <x v="2"/>
    <x v="1"/>
    <x v="2"/>
    <x v="0"/>
    <x v="3"/>
    <x v="0"/>
    <x v="2"/>
    <x v="6"/>
  </r>
  <r>
    <x v="38"/>
    <x v="0"/>
    <x v="0"/>
    <x v="1"/>
    <x v="30"/>
    <x v="2"/>
    <x v="1"/>
    <x v="2"/>
    <x v="0"/>
    <x v="3"/>
    <x v="0"/>
    <x v="2"/>
    <x v="6"/>
  </r>
  <r>
    <x v="39"/>
    <x v="0"/>
    <x v="0"/>
    <x v="1"/>
    <x v="12"/>
    <x v="2"/>
    <x v="1"/>
    <x v="2"/>
    <x v="0"/>
    <x v="3"/>
    <x v="0"/>
    <x v="2"/>
    <x v="2"/>
  </r>
  <r>
    <x v="40"/>
    <x v="0"/>
    <x v="0"/>
    <x v="1"/>
    <x v="6"/>
    <x v="2"/>
    <x v="1"/>
    <x v="2"/>
    <x v="0"/>
    <x v="3"/>
    <x v="0"/>
    <x v="2"/>
    <x v="6"/>
  </r>
  <r>
    <x v="41"/>
    <x v="0"/>
    <x v="0"/>
    <x v="1"/>
    <x v="13"/>
    <x v="2"/>
    <x v="1"/>
    <x v="2"/>
    <x v="0"/>
    <x v="3"/>
    <x v="0"/>
    <x v="2"/>
    <x v="6"/>
  </r>
  <r>
    <x v="42"/>
    <x v="0"/>
    <x v="0"/>
    <x v="1"/>
    <x v="8"/>
    <x v="2"/>
    <x v="1"/>
    <x v="2"/>
    <x v="0"/>
    <x v="3"/>
    <x v="0"/>
    <x v="2"/>
    <x v="6"/>
  </r>
  <r>
    <x v="52"/>
    <x v="0"/>
    <x v="0"/>
    <x v="1"/>
    <x v="53"/>
    <x v="2"/>
    <x v="1"/>
    <x v="2"/>
    <x v="0"/>
    <x v="18"/>
    <x v="1"/>
    <x v="2"/>
    <x v="6"/>
  </r>
  <r>
    <x v="53"/>
    <x v="0"/>
    <x v="0"/>
    <x v="1"/>
    <x v="72"/>
    <x v="2"/>
    <x v="1"/>
    <x v="2"/>
    <x v="0"/>
    <x v="19"/>
    <x v="1"/>
    <x v="2"/>
    <x v="6"/>
  </r>
  <r>
    <x v="54"/>
    <x v="0"/>
    <x v="0"/>
    <x v="1"/>
    <x v="69"/>
    <x v="2"/>
    <x v="1"/>
    <x v="2"/>
    <x v="0"/>
    <x v="20"/>
    <x v="1"/>
    <x v="2"/>
    <x v="6"/>
  </r>
  <r>
    <x v="51"/>
    <x v="0"/>
    <x v="0"/>
    <x v="1"/>
    <x v="31"/>
    <x v="2"/>
    <x v="1"/>
    <x v="2"/>
    <x v="0"/>
    <x v="23"/>
    <x v="2"/>
    <x v="2"/>
    <x v="6"/>
  </r>
  <r>
    <x v="66"/>
    <x v="0"/>
    <x v="0"/>
    <x v="1"/>
    <x v="38"/>
    <x v="2"/>
    <x v="1"/>
    <x v="2"/>
    <x v="0"/>
    <x v="23"/>
    <x v="2"/>
    <x v="2"/>
    <x v="6"/>
  </r>
  <r>
    <x v="43"/>
    <x v="0"/>
    <x v="0"/>
    <x v="1"/>
    <x v="66"/>
    <x v="1"/>
    <x v="0"/>
    <x v="0"/>
    <x v="0"/>
    <x v="25"/>
    <x v="0"/>
    <x v="2"/>
    <x v="6"/>
  </r>
  <r>
    <x v="0"/>
    <x v="0"/>
    <x v="0"/>
    <x v="2"/>
    <x v="80"/>
    <x v="0"/>
    <x v="0"/>
    <x v="1"/>
    <x v="0"/>
    <x v="1"/>
    <x v="3"/>
    <x v="2"/>
    <x v="6"/>
  </r>
  <r>
    <x v="1"/>
    <x v="0"/>
    <x v="0"/>
    <x v="2"/>
    <x v="60"/>
    <x v="0"/>
    <x v="0"/>
    <x v="1"/>
    <x v="0"/>
    <x v="1"/>
    <x v="3"/>
    <x v="2"/>
    <x v="6"/>
  </r>
  <r>
    <x v="2"/>
    <x v="0"/>
    <x v="0"/>
    <x v="2"/>
    <x v="71"/>
    <x v="0"/>
    <x v="0"/>
    <x v="1"/>
    <x v="0"/>
    <x v="1"/>
    <x v="3"/>
    <x v="2"/>
    <x v="6"/>
  </r>
  <r>
    <x v="3"/>
    <x v="0"/>
    <x v="0"/>
    <x v="2"/>
    <x v="3"/>
    <x v="0"/>
    <x v="0"/>
    <x v="1"/>
    <x v="0"/>
    <x v="1"/>
    <x v="3"/>
    <x v="2"/>
    <x v="5"/>
  </r>
  <r>
    <x v="4"/>
    <x v="0"/>
    <x v="0"/>
    <x v="2"/>
    <x v="23"/>
    <x v="0"/>
    <x v="0"/>
    <x v="1"/>
    <x v="0"/>
    <x v="1"/>
    <x v="3"/>
    <x v="2"/>
    <x v="5"/>
  </r>
  <r>
    <x v="5"/>
    <x v="0"/>
    <x v="0"/>
    <x v="2"/>
    <x v="65"/>
    <x v="0"/>
    <x v="0"/>
    <x v="1"/>
    <x v="0"/>
    <x v="1"/>
    <x v="3"/>
    <x v="2"/>
    <x v="6"/>
  </r>
  <r>
    <x v="40"/>
    <x v="0"/>
    <x v="0"/>
    <x v="2"/>
    <x v="36"/>
    <x v="0"/>
    <x v="0"/>
    <x v="1"/>
    <x v="0"/>
    <x v="1"/>
    <x v="3"/>
    <x v="2"/>
    <x v="2"/>
  </r>
  <r>
    <x v="41"/>
    <x v="0"/>
    <x v="0"/>
    <x v="2"/>
    <x v="56"/>
    <x v="0"/>
    <x v="0"/>
    <x v="1"/>
    <x v="0"/>
    <x v="1"/>
    <x v="3"/>
    <x v="2"/>
    <x v="2"/>
  </r>
  <r>
    <x v="16"/>
    <x v="0"/>
    <x v="0"/>
    <x v="2"/>
    <x v="78"/>
    <x v="2"/>
    <x v="1"/>
    <x v="2"/>
    <x v="0"/>
    <x v="2"/>
    <x v="0"/>
    <x v="2"/>
    <x v="2"/>
  </r>
  <r>
    <x v="17"/>
    <x v="0"/>
    <x v="0"/>
    <x v="2"/>
    <x v="29"/>
    <x v="2"/>
    <x v="1"/>
    <x v="2"/>
    <x v="0"/>
    <x v="2"/>
    <x v="0"/>
    <x v="2"/>
    <x v="2"/>
  </r>
  <r>
    <x v="18"/>
    <x v="0"/>
    <x v="0"/>
    <x v="2"/>
    <x v="63"/>
    <x v="2"/>
    <x v="1"/>
    <x v="2"/>
    <x v="0"/>
    <x v="2"/>
    <x v="0"/>
    <x v="2"/>
    <x v="2"/>
  </r>
  <r>
    <x v="19"/>
    <x v="0"/>
    <x v="0"/>
    <x v="2"/>
    <x v="27"/>
    <x v="2"/>
    <x v="1"/>
    <x v="2"/>
    <x v="0"/>
    <x v="2"/>
    <x v="0"/>
    <x v="2"/>
    <x v="6"/>
  </r>
  <r>
    <x v="20"/>
    <x v="0"/>
    <x v="0"/>
    <x v="2"/>
    <x v="26"/>
    <x v="2"/>
    <x v="1"/>
    <x v="2"/>
    <x v="0"/>
    <x v="2"/>
    <x v="0"/>
    <x v="2"/>
    <x v="2"/>
  </r>
  <r>
    <x v="21"/>
    <x v="0"/>
    <x v="0"/>
    <x v="2"/>
    <x v="25"/>
    <x v="2"/>
    <x v="1"/>
    <x v="2"/>
    <x v="0"/>
    <x v="2"/>
    <x v="0"/>
    <x v="2"/>
    <x v="6"/>
  </r>
  <r>
    <x v="22"/>
    <x v="0"/>
    <x v="0"/>
    <x v="2"/>
    <x v="21"/>
    <x v="2"/>
    <x v="1"/>
    <x v="2"/>
    <x v="0"/>
    <x v="2"/>
    <x v="0"/>
    <x v="2"/>
    <x v="6"/>
  </r>
  <r>
    <x v="23"/>
    <x v="0"/>
    <x v="0"/>
    <x v="2"/>
    <x v="61"/>
    <x v="2"/>
    <x v="1"/>
    <x v="2"/>
    <x v="0"/>
    <x v="2"/>
    <x v="0"/>
    <x v="2"/>
    <x v="6"/>
  </r>
  <r>
    <x v="24"/>
    <x v="0"/>
    <x v="0"/>
    <x v="2"/>
    <x v="90"/>
    <x v="2"/>
    <x v="1"/>
    <x v="2"/>
    <x v="0"/>
    <x v="2"/>
    <x v="0"/>
    <x v="2"/>
    <x v="6"/>
  </r>
  <r>
    <x v="25"/>
    <x v="0"/>
    <x v="0"/>
    <x v="2"/>
    <x v="24"/>
    <x v="2"/>
    <x v="1"/>
    <x v="2"/>
    <x v="0"/>
    <x v="2"/>
    <x v="0"/>
    <x v="2"/>
    <x v="6"/>
  </r>
  <r>
    <x v="59"/>
    <x v="0"/>
    <x v="0"/>
    <x v="2"/>
    <x v="64"/>
    <x v="2"/>
    <x v="1"/>
    <x v="2"/>
    <x v="0"/>
    <x v="9"/>
    <x v="0"/>
    <x v="2"/>
    <x v="6"/>
  </r>
  <r>
    <x v="38"/>
    <x v="0"/>
    <x v="0"/>
    <x v="2"/>
    <x v="70"/>
    <x v="2"/>
    <x v="1"/>
    <x v="2"/>
    <x v="0"/>
    <x v="14"/>
    <x v="1"/>
    <x v="0"/>
    <x v="2"/>
  </r>
  <r>
    <x v="64"/>
    <x v="0"/>
    <x v="0"/>
    <x v="2"/>
    <x v="40"/>
    <x v="2"/>
    <x v="1"/>
    <x v="2"/>
    <x v="0"/>
    <x v="15"/>
    <x v="1"/>
    <x v="0"/>
    <x v="6"/>
  </r>
  <r>
    <x v="65"/>
    <x v="0"/>
    <x v="0"/>
    <x v="2"/>
    <x v="22"/>
    <x v="2"/>
    <x v="1"/>
    <x v="2"/>
    <x v="0"/>
    <x v="17"/>
    <x v="1"/>
    <x v="0"/>
    <x v="6"/>
  </r>
  <r>
    <x v="26"/>
    <x v="0"/>
    <x v="0"/>
    <x v="2"/>
    <x v="33"/>
    <x v="2"/>
    <x v="1"/>
    <x v="2"/>
    <x v="0"/>
    <x v="24"/>
    <x v="0"/>
    <x v="2"/>
    <x v="6"/>
  </r>
  <r>
    <x v="27"/>
    <x v="0"/>
    <x v="0"/>
    <x v="2"/>
    <x v="62"/>
    <x v="2"/>
    <x v="1"/>
    <x v="2"/>
    <x v="0"/>
    <x v="24"/>
    <x v="0"/>
    <x v="2"/>
    <x v="6"/>
  </r>
  <r>
    <x v="28"/>
    <x v="0"/>
    <x v="0"/>
    <x v="2"/>
    <x v="58"/>
    <x v="2"/>
    <x v="1"/>
    <x v="2"/>
    <x v="0"/>
    <x v="24"/>
    <x v="0"/>
    <x v="2"/>
    <x v="6"/>
  </r>
  <r>
    <x v="67"/>
    <x v="0"/>
    <x v="0"/>
    <x v="2"/>
    <x v="50"/>
    <x v="2"/>
    <x v="1"/>
    <x v="2"/>
    <x v="0"/>
    <x v="24"/>
    <x v="0"/>
    <x v="2"/>
    <x v="6"/>
  </r>
  <r>
    <x v="67"/>
    <x v="0"/>
    <x v="0"/>
    <x v="2"/>
    <x v="50"/>
    <x v="2"/>
    <x v="1"/>
    <x v="2"/>
    <x v="0"/>
    <x v="24"/>
    <x v="0"/>
    <x v="2"/>
    <x v="2"/>
  </r>
  <r>
    <x v="67"/>
    <x v="0"/>
    <x v="0"/>
    <x v="2"/>
    <x v="50"/>
    <x v="2"/>
    <x v="1"/>
    <x v="2"/>
    <x v="0"/>
    <x v="24"/>
    <x v="0"/>
    <x v="2"/>
    <x v="2"/>
  </r>
  <r>
    <x v="2"/>
    <x v="0"/>
    <x v="0"/>
    <x v="3"/>
    <x v="37"/>
    <x v="2"/>
    <x v="1"/>
    <x v="2"/>
    <x v="0"/>
    <x v="0"/>
    <x v="0"/>
    <x v="2"/>
    <x v="2"/>
  </r>
  <r>
    <x v="3"/>
    <x v="0"/>
    <x v="0"/>
    <x v="3"/>
    <x v="37"/>
    <x v="2"/>
    <x v="1"/>
    <x v="2"/>
    <x v="0"/>
    <x v="0"/>
    <x v="0"/>
    <x v="2"/>
    <x v="2"/>
  </r>
  <r>
    <x v="4"/>
    <x v="0"/>
    <x v="0"/>
    <x v="3"/>
    <x v="37"/>
    <x v="2"/>
    <x v="1"/>
    <x v="2"/>
    <x v="0"/>
    <x v="0"/>
    <x v="0"/>
    <x v="2"/>
    <x v="3"/>
  </r>
  <r>
    <x v="5"/>
    <x v="0"/>
    <x v="0"/>
    <x v="3"/>
    <x v="59"/>
    <x v="2"/>
    <x v="1"/>
    <x v="2"/>
    <x v="0"/>
    <x v="0"/>
    <x v="0"/>
    <x v="2"/>
    <x v="3"/>
  </r>
  <r>
    <x v="6"/>
    <x v="0"/>
    <x v="0"/>
    <x v="3"/>
    <x v="86"/>
    <x v="2"/>
    <x v="1"/>
    <x v="2"/>
    <x v="0"/>
    <x v="0"/>
    <x v="0"/>
    <x v="2"/>
    <x v="6"/>
  </r>
  <r>
    <x v="7"/>
    <x v="0"/>
    <x v="0"/>
    <x v="3"/>
    <x v="92"/>
    <x v="2"/>
    <x v="1"/>
    <x v="2"/>
    <x v="0"/>
    <x v="0"/>
    <x v="0"/>
    <x v="2"/>
    <x v="6"/>
  </r>
  <r>
    <x v="8"/>
    <x v="0"/>
    <x v="0"/>
    <x v="3"/>
    <x v="88"/>
    <x v="2"/>
    <x v="1"/>
    <x v="2"/>
    <x v="0"/>
    <x v="0"/>
    <x v="0"/>
    <x v="2"/>
    <x v="2"/>
  </r>
  <r>
    <x v="9"/>
    <x v="0"/>
    <x v="0"/>
    <x v="3"/>
    <x v="91"/>
    <x v="2"/>
    <x v="1"/>
    <x v="2"/>
    <x v="0"/>
    <x v="0"/>
    <x v="0"/>
    <x v="2"/>
    <x v="0"/>
  </r>
  <r>
    <x v="10"/>
    <x v="0"/>
    <x v="0"/>
    <x v="3"/>
    <x v="55"/>
    <x v="2"/>
    <x v="1"/>
    <x v="2"/>
    <x v="0"/>
    <x v="0"/>
    <x v="0"/>
    <x v="2"/>
    <x v="0"/>
  </r>
  <r>
    <x v="11"/>
    <x v="0"/>
    <x v="0"/>
    <x v="3"/>
    <x v="41"/>
    <x v="2"/>
    <x v="1"/>
    <x v="2"/>
    <x v="0"/>
    <x v="0"/>
    <x v="0"/>
    <x v="2"/>
    <x v="0"/>
  </r>
  <r>
    <x v="12"/>
    <x v="0"/>
    <x v="0"/>
    <x v="3"/>
    <x v="47"/>
    <x v="2"/>
    <x v="1"/>
    <x v="2"/>
    <x v="0"/>
    <x v="0"/>
    <x v="0"/>
    <x v="2"/>
    <x v="4"/>
  </r>
  <r>
    <x v="13"/>
    <x v="0"/>
    <x v="0"/>
    <x v="3"/>
    <x v="81"/>
    <x v="2"/>
    <x v="1"/>
    <x v="2"/>
    <x v="0"/>
    <x v="0"/>
    <x v="0"/>
    <x v="2"/>
    <x v="3"/>
  </r>
  <r>
    <x v="14"/>
    <x v="0"/>
    <x v="0"/>
    <x v="3"/>
    <x v="73"/>
    <x v="2"/>
    <x v="1"/>
    <x v="2"/>
    <x v="0"/>
    <x v="0"/>
    <x v="0"/>
    <x v="2"/>
    <x v="8"/>
  </r>
  <r>
    <x v="62"/>
    <x v="0"/>
    <x v="0"/>
    <x v="3"/>
    <x v="75"/>
    <x v="2"/>
    <x v="1"/>
    <x v="2"/>
    <x v="0"/>
    <x v="4"/>
    <x v="0"/>
    <x v="0"/>
    <x v="7"/>
  </r>
  <r>
    <x v="63"/>
    <x v="0"/>
    <x v="0"/>
    <x v="3"/>
    <x v="76"/>
    <x v="2"/>
    <x v="1"/>
    <x v="2"/>
    <x v="0"/>
    <x v="5"/>
    <x v="0"/>
    <x v="0"/>
    <x v="7"/>
  </r>
  <r>
    <x v="49"/>
    <x v="0"/>
    <x v="0"/>
    <x v="3"/>
    <x v="77"/>
    <x v="2"/>
    <x v="1"/>
    <x v="2"/>
    <x v="0"/>
    <x v="9"/>
    <x v="0"/>
    <x v="2"/>
    <x v="7"/>
  </r>
  <r>
    <x v="60"/>
    <x v="0"/>
    <x v="0"/>
    <x v="3"/>
    <x v="89"/>
    <x v="2"/>
    <x v="1"/>
    <x v="2"/>
    <x v="0"/>
    <x v="10"/>
    <x v="1"/>
    <x v="2"/>
    <x v="7"/>
  </r>
  <r>
    <x v="32"/>
    <x v="0"/>
    <x v="0"/>
    <x v="3"/>
    <x v="82"/>
    <x v="2"/>
    <x v="1"/>
    <x v="2"/>
    <x v="0"/>
    <x v="11"/>
    <x v="1"/>
    <x v="2"/>
    <x v="3"/>
  </r>
  <r>
    <x v="33"/>
    <x v="0"/>
    <x v="0"/>
    <x v="3"/>
    <x v="83"/>
    <x v="2"/>
    <x v="1"/>
    <x v="2"/>
    <x v="0"/>
    <x v="12"/>
    <x v="1"/>
    <x v="2"/>
    <x v="3"/>
  </r>
  <r>
    <x v="34"/>
    <x v="0"/>
    <x v="0"/>
    <x v="3"/>
    <x v="84"/>
    <x v="2"/>
    <x v="1"/>
    <x v="2"/>
    <x v="0"/>
    <x v="13"/>
    <x v="1"/>
    <x v="2"/>
    <x v="8"/>
  </r>
  <r>
    <x v="61"/>
    <x v="0"/>
    <x v="0"/>
    <x v="3"/>
    <x v="35"/>
    <x v="2"/>
    <x v="1"/>
    <x v="2"/>
    <x v="0"/>
    <x v="23"/>
    <x v="2"/>
    <x v="2"/>
    <x v="8"/>
  </r>
  <r>
    <x v="21"/>
    <x v="0"/>
    <x v="0"/>
    <x v="4"/>
    <x v="52"/>
    <x v="2"/>
    <x v="1"/>
    <x v="2"/>
    <x v="0"/>
    <x v="6"/>
    <x v="0"/>
    <x v="1"/>
    <x v="8"/>
  </r>
  <r>
    <x v="22"/>
    <x v="0"/>
    <x v="0"/>
    <x v="4"/>
    <x v="68"/>
    <x v="2"/>
    <x v="1"/>
    <x v="2"/>
    <x v="0"/>
    <x v="6"/>
    <x v="0"/>
    <x v="1"/>
    <x v="8"/>
  </r>
  <r>
    <x v="23"/>
    <x v="0"/>
    <x v="0"/>
    <x v="4"/>
    <x v="87"/>
    <x v="2"/>
    <x v="1"/>
    <x v="2"/>
    <x v="0"/>
    <x v="6"/>
    <x v="0"/>
    <x v="1"/>
    <x v="4"/>
  </r>
  <r>
    <x v="24"/>
    <x v="0"/>
    <x v="0"/>
    <x v="4"/>
    <x v="67"/>
    <x v="2"/>
    <x v="1"/>
    <x v="2"/>
    <x v="0"/>
    <x v="6"/>
    <x v="0"/>
    <x v="1"/>
    <x v="4"/>
  </r>
  <r>
    <x v="25"/>
    <x v="0"/>
    <x v="0"/>
    <x v="4"/>
    <x v="79"/>
    <x v="2"/>
    <x v="1"/>
    <x v="2"/>
    <x v="0"/>
    <x v="6"/>
    <x v="0"/>
    <x v="1"/>
    <x v="3"/>
  </r>
  <r>
    <x v="26"/>
    <x v="0"/>
    <x v="0"/>
    <x v="4"/>
    <x v="32"/>
    <x v="2"/>
    <x v="1"/>
    <x v="2"/>
    <x v="0"/>
    <x v="6"/>
    <x v="0"/>
    <x v="1"/>
    <x v="3"/>
  </r>
  <r>
    <x v="27"/>
    <x v="0"/>
    <x v="0"/>
    <x v="4"/>
    <x v="32"/>
    <x v="2"/>
    <x v="1"/>
    <x v="2"/>
    <x v="0"/>
    <x v="6"/>
    <x v="0"/>
    <x v="1"/>
    <x v="3"/>
  </r>
  <r>
    <x v="28"/>
    <x v="0"/>
    <x v="0"/>
    <x v="4"/>
    <x v="32"/>
    <x v="2"/>
    <x v="1"/>
    <x v="2"/>
    <x v="0"/>
    <x v="6"/>
    <x v="0"/>
    <x v="1"/>
    <x v="8"/>
  </r>
  <r>
    <x v="29"/>
    <x v="0"/>
    <x v="0"/>
    <x v="4"/>
    <x v="32"/>
    <x v="2"/>
    <x v="1"/>
    <x v="2"/>
    <x v="0"/>
    <x v="6"/>
    <x v="0"/>
    <x v="1"/>
    <x v="8"/>
  </r>
  <r>
    <x v="30"/>
    <x v="0"/>
    <x v="0"/>
    <x v="4"/>
    <x v="32"/>
    <x v="2"/>
    <x v="1"/>
    <x v="2"/>
    <x v="0"/>
    <x v="6"/>
    <x v="0"/>
    <x v="1"/>
    <x v="8"/>
  </r>
  <r>
    <x v="31"/>
    <x v="0"/>
    <x v="0"/>
    <x v="4"/>
    <x v="32"/>
    <x v="2"/>
    <x v="1"/>
    <x v="2"/>
    <x v="0"/>
    <x v="6"/>
    <x v="0"/>
    <x v="1"/>
    <x v="8"/>
  </r>
  <r>
    <x v="6"/>
    <x v="0"/>
    <x v="0"/>
    <x v="4"/>
    <x v="17"/>
    <x v="2"/>
    <x v="1"/>
    <x v="2"/>
    <x v="0"/>
    <x v="8"/>
    <x v="0"/>
    <x v="2"/>
    <x v="8"/>
  </r>
  <r>
    <x v="7"/>
    <x v="0"/>
    <x v="0"/>
    <x v="4"/>
    <x v="19"/>
    <x v="2"/>
    <x v="1"/>
    <x v="2"/>
    <x v="0"/>
    <x v="8"/>
    <x v="0"/>
    <x v="2"/>
    <x v="8"/>
  </r>
  <r>
    <x v="58"/>
    <x v="0"/>
    <x v="0"/>
    <x v="4"/>
    <x v="16"/>
    <x v="2"/>
    <x v="1"/>
    <x v="2"/>
    <x v="0"/>
    <x v="16"/>
    <x v="4"/>
    <x v="2"/>
    <x v="8"/>
  </r>
  <r>
    <x v="56"/>
    <x v="0"/>
    <x v="0"/>
    <x v="4"/>
    <x v="18"/>
    <x v="2"/>
    <x v="1"/>
    <x v="2"/>
    <x v="0"/>
    <x v="23"/>
    <x v="2"/>
    <x v="2"/>
    <x v="8"/>
  </r>
  <r>
    <x v="57"/>
    <x v="0"/>
    <x v="0"/>
    <x v="4"/>
    <x v="20"/>
    <x v="2"/>
    <x v="1"/>
    <x v="2"/>
    <x v="0"/>
    <x v="23"/>
    <x v="2"/>
    <x v="2"/>
    <x v="8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TablaDinámica1" cacheId="1" applyNumberFormats="0" applyBorderFormats="0" applyFontFormats="0" applyPatternFormats="0" applyAlignmentFormats="0" applyWidthHeightFormats="0" dataCaption="Values" showDrill="1" useAutoFormatting="0" itemPrintTitles="1" indent="0" outline="0" outlineData="0" compact="0" compactData="0">
  <location ref="A3:G102" firstHeaderRow="1" firstDataRow="2" firstDataCol="2"/>
  <pivotFields count="13">
    <pivotField compact="0" showAll="0"/>
    <pivotField compact="0" showAll="0"/>
    <pivotField compact="0" showAll="0"/>
    <pivotField compact="0" showAll="0"/>
    <pivotField axis="axisRow" compact="0" showAll="0" defaultSubtotal="0" outline="0">
      <items count="95">
        <item x="37"/>
        <item x="41"/>
        <item x="47"/>
        <item x="55"/>
        <item x="59"/>
        <item x="64"/>
        <item x="77"/>
        <item x="82"/>
        <item x="83"/>
        <item x="84"/>
        <item x="86"/>
        <item x="88"/>
        <item x="89"/>
        <item x="91"/>
        <item x="92"/>
        <item x="94"/>
        <item x="75"/>
        <item x="76"/>
        <item x="63"/>
        <item x="27"/>
        <item x="26"/>
        <item x="25"/>
        <item x="21"/>
        <item x="90"/>
        <item x="24"/>
        <item x="22"/>
        <item x="9"/>
        <item x="5"/>
        <item x="45"/>
        <item x="39"/>
        <item x="28"/>
        <item x="30"/>
        <item x="12"/>
        <item x="6"/>
        <item x="13"/>
        <item x="8"/>
        <item x="38"/>
        <item x="72"/>
        <item x="69"/>
        <item x="33"/>
        <item x="62"/>
        <item x="58"/>
        <item x="10"/>
        <item x="85"/>
        <item x="2"/>
        <item x="14"/>
        <item x="54"/>
        <item x="42"/>
        <item x="46"/>
        <item x="44"/>
        <item x="34"/>
        <item x="4"/>
        <item x="11"/>
        <item x="15"/>
        <item x="17"/>
        <item x="19"/>
        <item x="49"/>
        <item x="68"/>
        <item x="87"/>
        <item x="67"/>
        <item x="79"/>
        <item x="32"/>
        <item x="18"/>
        <item x="20"/>
        <item x="16"/>
        <item x="7"/>
        <item x="35"/>
        <item x="93"/>
        <item x="31"/>
        <item x="53"/>
        <item x="66"/>
        <item x="57"/>
        <item x="51"/>
        <item x="1"/>
        <item x="0"/>
        <item x="74"/>
        <item x="50"/>
        <item x="52"/>
        <item x="81"/>
        <item x="73"/>
        <item x="80"/>
        <item x="60"/>
        <item x="71"/>
        <item x="3"/>
        <item x="23"/>
        <item x="65"/>
        <item x="78"/>
        <item x="29"/>
        <item x="61"/>
        <item x="70"/>
        <item x="36"/>
        <item x="56"/>
        <item x="48"/>
        <item x="43"/>
        <item x="40"/>
      </items>
    </pivotField>
    <pivotField compact="0" showAll="0"/>
    <pivotField compact="0" showAll="0"/>
    <pivotField compact="0" showAll="0"/>
    <pivotField compact="0" showAll="0"/>
    <pivotField axis="axisRow" compact="0" showAll="0" defaultSubtotal="0" outline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</items>
    </pivotField>
    <pivotField compact="0" showAll="0"/>
    <pivotField axis="axisCol" compact="0" showAll="0" outline="0">
      <items count="5">
        <item x="3"/>
        <item x="2"/>
        <item x="0"/>
        <item x="1"/>
        <item t="default"/>
      </items>
    </pivotField>
    <pivotField compact="0" showAll="0"/>
  </pivotFields>
  <rowFields count="2">
    <field x="9"/>
    <field x="4"/>
  </rowFields>
  <rowItems count="98">
    <i>
      <x v="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 t="grand">
      <x v="97"/>
    </i>
  </rowItems>
  <colFields count="1">
    <field x="11"/>
  </colFields>
  <colItems count="5">
    <i>
      <x v="0"/>
    </i>
    <i>
      <x v="1"/>
    </i>
    <i>
      <x v="2"/>
    </i>
    <i>
      <x v="3"/>
    </i>
    <i t="grand">
      <x v="4"/>
    </i>
  </colItems>
  <formats count="39">
    <format dxfId="5">
      <pivotArea outline="0" fieldPosition="0"/>
    </format>
    <format dxfId="6">
      <pivotArea dataOnly="0" labelOnly="1" outline="0" fieldPosition="0">
        <references count="1">
          <reference field="6" count="1"/>
        </references>
      </pivotArea>
    </format>
    <format dxfId="7">
      <pivotArea dataOnly="0" labelOnly="1" outline="0" fieldPosition="0"/>
    </format>
    <format dxfId="8">
      <pivotArea dataOnly="0" labelOnly="1" outline="0" fieldPosition="0">
        <references count="2">
          <reference field="6" count="1" selected="0">
            <x v="0"/>
          </reference>
          <reference field="7" count="1">
            <x v="1"/>
          </reference>
        </references>
      </pivotArea>
    </format>
    <format dxfId="9">
      <pivotArea dataOnly="0" labelOnly="1" outline="0" fieldPosition="0">
        <references count="2">
          <reference field="6" count="1" selected="0">
            <x v="9"/>
          </reference>
          <reference field="7" count="1">
            <x v="2"/>
          </reference>
        </references>
      </pivotArea>
    </format>
    <format dxfId="10">
      <pivotArea dataOnly="0" labelOnly="1" outline="0" fieldPosition="0">
        <references count="2">
          <reference field="6" count="1" selected="0">
            <x v="26"/>
          </reference>
          <reference field="7" count="1">
            <x v="0"/>
          </reference>
        </references>
      </pivotArea>
    </format>
    <format dxfId="11">
      <pivotArea dataOnly="0" labelOnly="1" outline="0" fieldPosition="0">
        <references count="2">
          <reference field="6" count="1" selected="0">
            <x v="4"/>
          </reference>
          <reference field="7" count="1">
            <x v="1"/>
          </reference>
        </references>
      </pivotArea>
    </format>
    <format dxfId="12">
      <pivotArea dataOnly="0" labelOnly="1" outline="0" fieldPosition="0">
        <references count="2">
          <reference field="6" count="1" selected="0">
            <x v="13"/>
          </reference>
          <reference field="7" count="1">
            <x v="2"/>
          </reference>
        </references>
      </pivotArea>
    </format>
    <format dxfId="13">
      <pivotArea dataOnly="0" labelOnly="1" outline="0" fieldPosition="0">
        <references count="2">
          <reference field="6" count="1" selected="0">
            <x v="3"/>
          </reference>
          <reference field="7" count="1">
            <x v="1"/>
          </reference>
        </references>
      </pivotArea>
    </format>
    <format dxfId="14">
      <pivotArea dataOnly="0" labelOnly="1" outline="0" fieldPosition="0">
        <references count="2">
          <reference field="6" count="1" selected="0">
            <x v="18"/>
          </reference>
          <reference field="7" count="1">
            <x v="2"/>
          </reference>
        </references>
      </pivotArea>
    </format>
    <format dxfId="15">
      <pivotArea dataOnly="0" labelOnly="1" outline="0" fieldPosition="0">
        <references count="2">
          <reference field="6" count="1" selected="0">
            <x v="21"/>
          </reference>
          <reference field="7" count="1">
            <x v="3"/>
          </reference>
        </references>
      </pivotArea>
    </format>
    <format dxfId="16">
      <pivotArea dataOnly="0" labelOnly="1" outline="0" fieldPosition="0">
        <references count="3">
          <reference field="1" count="1">
            <x v="5"/>
          </reference>
          <reference field="6" count="1" selected="0">
            <x v="26"/>
          </reference>
          <reference field="7" count="1" selected="0">
            <x v="0"/>
          </reference>
        </references>
      </pivotArea>
    </format>
    <format dxfId="17">
      <pivotArea dataOnly="0" labelOnly="1" outline="0" fieldPosition="0">
        <references count="3">
          <reference field="1" count="1">
            <x v="4"/>
          </reference>
          <reference field="6" count="1" selected="0">
            <x v="7"/>
          </reference>
          <reference field="7" count="1" selected="0">
            <x v="1"/>
          </reference>
        </references>
      </pivotArea>
    </format>
    <format dxfId="18">
      <pivotArea dataOnly="0" labelOnly="1" outline="0" fieldPosition="0">
        <references count="3">
          <reference field="1" count="1">
            <x v="4"/>
          </reference>
          <reference field="6" count="1" selected="0">
            <x v="15"/>
          </reference>
          <reference field="7" count="1" selected="0">
            <x v="3"/>
          </reference>
        </references>
      </pivotArea>
    </format>
    <format dxfId="19">
      <pivotArea dataOnly="0" labelOnly="1" outline="0" fieldPosition="0">
        <references count="4">
          <reference field="0" count="1">
            <x v="16"/>
          </reference>
          <reference field="1" count="1" selected="0">
            <x v="5"/>
          </reference>
          <reference field="6" count="1" selected="0">
            <x v="26"/>
          </reference>
          <reference field="7" count="1" selected="0">
            <x v="0"/>
          </reference>
        </references>
      </pivotArea>
    </format>
    <format dxfId="20">
      <pivotArea dataOnly="0" labelOnly="1" outline="0" fieldPosition="0">
        <references count="4">
          <reference field="0" count="1">
            <x v="4"/>
            <x v="5"/>
          </reference>
          <reference field="1" count="1" selected="0">
            <x v="4"/>
          </reference>
          <reference field="6" count="1" selected="0">
            <x v="7"/>
          </reference>
          <reference field="7" count="1" selected="0">
            <x v="1"/>
          </reference>
        </references>
      </pivotArea>
    </format>
    <format dxfId="21">
      <pivotArea dataOnly="0" labelOnly="1" outline="0" fieldPosition="0">
        <references count="4">
          <reference field="0" count="1">
            <x v="21"/>
            <x v="22"/>
            <x v="23"/>
            <x v="24"/>
            <x v="25"/>
            <x v="27"/>
            <x v="36"/>
            <x v="37"/>
            <x v="38"/>
            <x v="39"/>
            <x v="40"/>
          </reference>
          <reference field="1" count="1" selected="0">
            <x v="4"/>
          </reference>
          <reference field="6" count="1" selected="0">
            <x v="15"/>
          </reference>
          <reference field="7" count="1" selected="0">
            <x v="3"/>
          </reference>
        </references>
      </pivotArea>
    </format>
    <format dxfId="22">
      <pivotArea dataOnly="0" labelOnly="1" outline="0" fieldPosition="0">
        <references count="5">
          <reference field="0" count="1" selected="0">
            <x v="16"/>
          </reference>
          <reference field="1" count="1" selected="0">
            <x v="5"/>
          </reference>
          <reference field="2" count="1">
            <x v="15"/>
          </reference>
          <reference field="6" count="1" selected="0">
            <x v="26"/>
          </reference>
          <reference field="7" count="1" selected="0">
            <x v="0"/>
          </reference>
        </references>
      </pivotArea>
    </format>
    <format dxfId="23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4"/>
          </reference>
          <reference field="2" count="1">
            <x v="55"/>
          </reference>
          <reference field="6" count="1" selected="0">
            <x v="7"/>
          </reference>
          <reference field="7" count="1" selected="0">
            <x v="1"/>
          </reference>
        </references>
      </pivotArea>
    </format>
    <format dxfId="24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4"/>
          </reference>
          <reference field="2" count="1">
            <x v="56"/>
          </reference>
          <reference field="6" count="1" selected="0">
            <x v="7"/>
          </reference>
          <reference field="7" count="1" selected="0">
            <x v="1"/>
          </reference>
        </references>
      </pivotArea>
    </format>
    <format dxfId="25">
      <pivotArea dataOnly="0" labelOnly="1" outline="0" fieldPosition="0">
        <references count="5">
          <reference field="0" count="1" selected="0">
            <x v="22"/>
          </reference>
          <reference field="1" count="1" selected="0">
            <x v="4"/>
          </reference>
          <reference field="2" count="1">
            <x v="58"/>
          </reference>
          <reference field="6" count="1" selected="0">
            <x v="15"/>
          </reference>
          <reference field="7" count="1" selected="0">
            <x v="3"/>
          </reference>
        </references>
      </pivotArea>
    </format>
    <format dxfId="26">
      <pivotArea dataOnly="0" labelOnly="1" outline="0" fieldPosition="0">
        <references count="5">
          <reference field="0" count="1" selected="0">
            <x v="23"/>
          </reference>
          <reference field="1" count="1" selected="0">
            <x v="4"/>
          </reference>
          <reference field="2" count="1">
            <x v="59"/>
          </reference>
          <reference field="6" count="1" selected="0">
            <x v="15"/>
          </reference>
          <reference field="7" count="1" selected="0">
            <x v="3"/>
          </reference>
        </references>
      </pivotArea>
    </format>
    <format dxfId="27">
      <pivotArea dataOnly="0" labelOnly="1" outline="0" fieldPosition="0">
        <references count="5">
          <reference field="0" count="1" selected="0">
            <x v="24"/>
          </reference>
          <reference field="1" count="1" selected="0">
            <x v="4"/>
          </reference>
          <reference field="2" count="1">
            <x v="60"/>
          </reference>
          <reference field="6" count="1" selected="0">
            <x v="15"/>
          </reference>
          <reference field="7" count="1" selected="0">
            <x v="3"/>
          </reference>
        </references>
      </pivotArea>
    </format>
    <format dxfId="28">
      <pivotArea dataOnly="0" labelOnly="1" outline="0" fieldPosition="0">
        <references count="5">
          <reference field="0" count="1" selected="0">
            <x v="25"/>
          </reference>
          <reference field="1" count="1" selected="0">
            <x v="4"/>
          </reference>
          <reference field="2" count="1">
            <x v="61"/>
          </reference>
          <reference field="6" count="1" selected="0">
            <x v="15"/>
          </reference>
          <reference field="7" count="1" selected="0">
            <x v="3"/>
          </reference>
        </references>
      </pivotArea>
    </format>
    <format dxfId="29">
      <pivotArea dataOnly="0" labelOnly="1" outline="0" fieldPosition="0">
        <references count="5">
          <reference field="0" count="1" selected="0">
            <x v="27"/>
          </reference>
          <reference field="1" count="1" selected="0">
            <x v="4"/>
          </reference>
          <reference field="2" count="1">
            <x v="62"/>
          </reference>
          <reference field="6" count="1" selected="0">
            <x v="15"/>
          </reference>
          <reference field="7" count="1" selected="0">
            <x v="3"/>
          </reference>
        </references>
      </pivotArea>
    </format>
    <format dxfId="30">
      <pivotArea dataOnly="0" labelOnly="1" outline="0" fieldPosition="0">
        <references count="5">
          <reference field="0" count="1" selected="0">
            <x v="36"/>
          </reference>
          <reference field="1" count="1" selected="0">
            <x v="4"/>
          </reference>
          <reference field="2" count="1">
            <x v="62"/>
          </reference>
          <reference field="6" count="1" selected="0">
            <x v="15"/>
          </reference>
          <reference field="7" count="1" selected="0">
            <x v="3"/>
          </reference>
        </references>
      </pivotArea>
    </format>
    <format dxfId="31">
      <pivotArea dataOnly="0" labelOnly="1" outline="0" fieldPosition="0">
        <references count="5">
          <reference field="0" count="1" selected="0">
            <x v="37"/>
          </reference>
          <reference field="1" count="1" selected="0">
            <x v="4"/>
          </reference>
          <reference field="2" count="1">
            <x v="62"/>
          </reference>
          <reference field="6" count="1" selected="0">
            <x v="15"/>
          </reference>
          <reference field="7" count="1" selected="0">
            <x v="3"/>
          </reference>
        </references>
      </pivotArea>
    </format>
    <format dxfId="32">
      <pivotArea dataOnly="0" labelOnly="1" outline="0" fieldPosition="0">
        <references count="5">
          <reference field="0" count="1" selected="0">
            <x v="38"/>
          </reference>
          <reference field="1" count="1" selected="0">
            <x v="4"/>
          </reference>
          <reference field="2" count="1">
            <x v="62"/>
          </reference>
          <reference field="6" count="1" selected="0">
            <x v="15"/>
          </reference>
          <reference field="7" count="1" selected="0">
            <x v="3"/>
          </reference>
        </references>
      </pivotArea>
    </format>
    <format dxfId="33">
      <pivotArea dataOnly="0" labelOnly="1" outline="0" fieldPosition="0">
        <references count="5">
          <reference field="0" count="1" selected="0">
            <x v="39"/>
          </reference>
          <reference field="1" count="1" selected="0">
            <x v="4"/>
          </reference>
          <reference field="2" count="1">
            <x v="62"/>
          </reference>
          <reference field="6" count="1" selected="0">
            <x v="15"/>
          </reference>
          <reference field="7" count="1" selected="0">
            <x v="3"/>
          </reference>
        </references>
      </pivotArea>
    </format>
    <format dxfId="34">
      <pivotArea dataOnly="0" labelOnly="1" outline="0" fieldPosition="0">
        <references count="5">
          <reference field="0" count="1" selected="0">
            <x v="40"/>
          </reference>
          <reference field="1" count="1" selected="0">
            <x v="4"/>
          </reference>
          <reference field="2" count="1">
            <x v="62"/>
          </reference>
          <reference field="6" count="1" selected="0">
            <x v="15"/>
          </reference>
          <reference field="7" count="1" selected="0">
            <x v="3"/>
          </reference>
        </references>
      </pivotArea>
    </format>
    <format dxfId="35">
      <pivotArea outline="0" fieldPosition="0"/>
    </format>
    <format dxfId="36">
      <pivotArea dataOnly="0" labelOnly="1" outline="0" fieldPosition="0"/>
    </format>
    <format dxfId="37">
      <pivotArea dataOnly="0" labelOnly="1" outline="0" fieldPosition="2"/>
    </format>
    <format dxfId="38">
      <pivotArea dataOnly="0" labelOnly="1" outline="0" fieldPosition="3"/>
    </format>
    <format dxfId="39">
      <pivotArea dataOnly="0" labelOnly="1" outline="0" fieldPosition="4"/>
    </format>
    <format dxfId="40">
      <pivotArea dataOnly="0" labelOnly="1" outline="0" fieldPosition="5"/>
    </format>
    <format dxfId="41">
      <pivotArea dataOnly="0" labelOnly="1" outline="0" fieldPosition="0">
        <references count="1">
          <reference field="6" count="1"/>
        </references>
      </pivotArea>
    </format>
    <format dxfId="42">
      <pivotArea dataOnly="0" labelOnly="1" outline="0" fieldPosition="0"/>
    </format>
    <format dxfId="43">
      <pivotArea dataOnly="0" labelOnly="1" outline="0" fieldPosition="0">
        <references count="1">
          <reference field="8" count="1"/>
        </references>
      </pivotArea>
    </format>
  </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hyperlink" Target="mailto:qgil@euromadi.es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G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I91" activeCellId="0" sqref="I91"/>
    </sheetView>
  </sheetViews>
  <sheetFormatPr defaultColWidth="11.453125" defaultRowHeight="14.25" customHeight="tru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4"/>
    <col collapsed="false" customWidth="true" hidden="true" outlineLevel="0" max="3" min="3" style="1" width="23.73"/>
    <col collapsed="false" customWidth="true" hidden="false" outlineLevel="0" max="4" min="4" style="1" width="16.18"/>
    <col collapsed="false" customWidth="true" hidden="false" outlineLevel="0" max="6" min="5" style="1" width="28.27"/>
    <col collapsed="false" customWidth="true" hidden="false" outlineLevel="0" max="7" min="7" style="1" width="9.27"/>
    <col collapsed="false" customWidth="true" hidden="false" outlineLevel="0" max="8" min="8" style="1" width="7.18"/>
    <col collapsed="false" customWidth="true" hidden="false" outlineLevel="0" max="9" min="9" style="1" width="4.82"/>
    <col collapsed="false" customWidth="true" hidden="false" outlineLevel="0" max="10" min="10" style="1" width="11"/>
    <col collapsed="false" customWidth="true" hidden="false" outlineLevel="0" max="11" min="11" style="1" width="4.54"/>
    <col collapsed="false" customWidth="true" hidden="false" outlineLevel="0" max="13" min="12" style="1" width="10.27"/>
  </cols>
  <sheetData>
    <row r="3" customFormat="false" ht="14.25" hidden="false" customHeight="false" outlineLevel="0" collapsed="false">
      <c r="A3" s="2" t="s">
        <v>0</v>
      </c>
      <c r="B3" s="3"/>
      <c r="C3" s="4" t="s">
        <v>1</v>
      </c>
      <c r="D3" s="5"/>
      <c r="E3" s="5"/>
      <c r="F3" s="5"/>
      <c r="G3" s="6"/>
    </row>
    <row r="4" customFormat="false" ht="14.25" hidden="false" customHeight="false" outlineLevel="0" collapsed="false">
      <c r="A4" s="7" t="s">
        <v>2</v>
      </c>
      <c r="B4" s="8" t="s">
        <v>3</v>
      </c>
      <c r="C4" s="9" t="s">
        <v>0</v>
      </c>
      <c r="D4" s="10" t="s">
        <v>4</v>
      </c>
      <c r="E4" s="10" t="s">
        <v>5</v>
      </c>
      <c r="F4" s="10" t="s">
        <v>6</v>
      </c>
      <c r="G4" s="11" t="s">
        <v>7</v>
      </c>
    </row>
    <row r="5" customFormat="false" ht="14.25" hidden="false" customHeight="false" outlineLevel="0" collapsed="false">
      <c r="A5" s="12" t="s">
        <v>8</v>
      </c>
      <c r="B5" s="13" t="s">
        <v>9</v>
      </c>
      <c r="C5" s="14"/>
      <c r="D5" s="14"/>
      <c r="E5" s="14"/>
      <c r="F5" s="14"/>
      <c r="G5" s="15"/>
    </row>
    <row r="6" customFormat="false" ht="14.25" hidden="false" customHeight="false" outlineLevel="0" collapsed="false">
      <c r="A6" s="16"/>
      <c r="B6" s="17" t="s">
        <v>10</v>
      </c>
      <c r="C6" s="14"/>
      <c r="D6" s="14"/>
      <c r="E6" s="14"/>
      <c r="F6" s="14"/>
      <c r="G6" s="15"/>
    </row>
    <row r="7" customFormat="false" ht="14.25" hidden="false" customHeight="false" outlineLevel="0" collapsed="false">
      <c r="A7" s="16"/>
      <c r="B7" s="17" t="s">
        <v>11</v>
      </c>
      <c r="C7" s="14"/>
      <c r="D7" s="14"/>
      <c r="E7" s="14"/>
      <c r="F7" s="14"/>
      <c r="G7" s="15"/>
    </row>
    <row r="8" customFormat="false" ht="14.25" hidden="false" customHeight="false" outlineLevel="0" collapsed="false">
      <c r="A8" s="16"/>
      <c r="B8" s="17" t="s">
        <v>12</v>
      </c>
      <c r="C8" s="14"/>
      <c r="D8" s="14"/>
      <c r="E8" s="14"/>
      <c r="F8" s="14"/>
      <c r="G8" s="15"/>
    </row>
    <row r="9" customFormat="false" ht="14.25" hidden="false" customHeight="false" outlineLevel="0" collapsed="false">
      <c r="A9" s="16"/>
      <c r="B9" s="17" t="s">
        <v>13</v>
      </c>
      <c r="C9" s="14"/>
      <c r="D9" s="14"/>
      <c r="E9" s="14"/>
      <c r="F9" s="14"/>
      <c r="G9" s="15"/>
    </row>
    <row r="10" customFormat="false" ht="14.25" hidden="false" customHeight="false" outlineLevel="0" collapsed="false">
      <c r="A10" s="16"/>
      <c r="B10" s="17" t="s">
        <v>14</v>
      </c>
      <c r="C10" s="14"/>
      <c r="D10" s="14"/>
      <c r="E10" s="14"/>
      <c r="F10" s="14"/>
      <c r="G10" s="15"/>
    </row>
    <row r="11" customFormat="false" ht="14.25" hidden="false" customHeight="false" outlineLevel="0" collapsed="false">
      <c r="A11" s="16"/>
      <c r="B11" s="17" t="s">
        <v>15</v>
      </c>
      <c r="C11" s="14"/>
      <c r="D11" s="14"/>
      <c r="E11" s="14"/>
      <c r="F11" s="14"/>
      <c r="G11" s="15"/>
    </row>
    <row r="12" customFormat="false" ht="14.25" hidden="false" customHeight="false" outlineLevel="0" collapsed="false">
      <c r="A12" s="16"/>
      <c r="B12" s="17" t="s">
        <v>16</v>
      </c>
      <c r="C12" s="14"/>
      <c r="D12" s="14"/>
      <c r="E12" s="14"/>
      <c r="F12" s="14"/>
      <c r="G12" s="15"/>
    </row>
    <row r="13" customFormat="false" ht="14.25" hidden="false" customHeight="false" outlineLevel="0" collapsed="false">
      <c r="A13" s="16"/>
      <c r="B13" s="17" t="s">
        <v>17</v>
      </c>
      <c r="C13" s="14"/>
      <c r="D13" s="14"/>
      <c r="E13" s="14"/>
      <c r="F13" s="14"/>
      <c r="G13" s="15"/>
    </row>
    <row r="14" customFormat="false" ht="14.25" hidden="false" customHeight="false" outlineLevel="0" collapsed="false">
      <c r="A14" s="16"/>
      <c r="B14" s="17" t="s">
        <v>18</v>
      </c>
      <c r="C14" s="14"/>
      <c r="D14" s="14"/>
      <c r="E14" s="14"/>
      <c r="F14" s="14"/>
      <c r="G14" s="15"/>
    </row>
    <row r="15" customFormat="false" ht="14.25" hidden="false" customHeight="false" outlineLevel="0" collapsed="false">
      <c r="A15" s="18"/>
      <c r="B15" s="19" t="s">
        <v>19</v>
      </c>
      <c r="C15" s="14"/>
      <c r="D15" s="14"/>
      <c r="E15" s="14"/>
      <c r="F15" s="14"/>
      <c r="G15" s="15"/>
    </row>
    <row r="16" customFormat="false" ht="14.25" hidden="false" customHeight="false" outlineLevel="0" collapsed="false">
      <c r="A16" s="12" t="s">
        <v>20</v>
      </c>
      <c r="B16" s="13" t="s">
        <v>21</v>
      </c>
      <c r="C16" s="14"/>
      <c r="D16" s="14"/>
      <c r="E16" s="14"/>
      <c r="F16" s="14"/>
      <c r="G16" s="15"/>
    </row>
    <row r="17" customFormat="false" ht="14.25" hidden="false" customHeight="false" outlineLevel="0" collapsed="false">
      <c r="A17" s="16"/>
      <c r="B17" s="17" t="s">
        <v>22</v>
      </c>
      <c r="C17" s="14"/>
      <c r="D17" s="14"/>
      <c r="E17" s="14"/>
      <c r="F17" s="14"/>
      <c r="G17" s="15"/>
    </row>
    <row r="18" customFormat="false" ht="14.25" hidden="false" customHeight="false" outlineLevel="0" collapsed="false">
      <c r="A18" s="16"/>
      <c r="B18" s="17" t="s">
        <v>23</v>
      </c>
      <c r="C18" s="14"/>
      <c r="D18" s="14"/>
      <c r="E18" s="14"/>
      <c r="F18" s="14"/>
      <c r="G18" s="15"/>
    </row>
    <row r="19" customFormat="false" ht="14.25" hidden="false" customHeight="false" outlineLevel="0" collapsed="false">
      <c r="A19" s="16"/>
      <c r="B19" s="17" t="s">
        <v>24</v>
      </c>
      <c r="C19" s="14"/>
      <c r="D19" s="14"/>
      <c r="E19" s="14"/>
      <c r="F19" s="14"/>
      <c r="G19" s="15"/>
    </row>
    <row r="20" customFormat="false" ht="14.25" hidden="false" customHeight="false" outlineLevel="0" collapsed="false">
      <c r="A20" s="16"/>
      <c r="B20" s="17" t="s">
        <v>25</v>
      </c>
      <c r="C20" s="14"/>
      <c r="D20" s="14"/>
      <c r="E20" s="14"/>
      <c r="F20" s="14"/>
      <c r="G20" s="15"/>
    </row>
    <row r="21" customFormat="false" ht="14.25" hidden="false" customHeight="false" outlineLevel="0" collapsed="false">
      <c r="A21" s="16"/>
      <c r="B21" s="17" t="s">
        <v>26</v>
      </c>
      <c r="C21" s="14"/>
      <c r="D21" s="14"/>
      <c r="E21" s="14"/>
      <c r="F21" s="14"/>
      <c r="G21" s="15"/>
    </row>
    <row r="22" customFormat="false" ht="14.25" hidden="false" customHeight="false" outlineLevel="0" collapsed="false">
      <c r="A22" s="16"/>
      <c r="B22" s="17" t="s">
        <v>27</v>
      </c>
      <c r="C22" s="14"/>
      <c r="D22" s="14"/>
      <c r="E22" s="14"/>
      <c r="F22" s="14"/>
      <c r="G22" s="15"/>
    </row>
    <row r="23" customFormat="false" ht="14.25" hidden="false" customHeight="false" outlineLevel="0" collapsed="false">
      <c r="A23" s="18"/>
      <c r="B23" s="19" t="s">
        <v>28</v>
      </c>
      <c r="C23" s="14"/>
      <c r="D23" s="14"/>
      <c r="E23" s="14"/>
      <c r="F23" s="14"/>
      <c r="G23" s="15"/>
    </row>
    <row r="24" customFormat="false" ht="14.25" hidden="false" customHeight="false" outlineLevel="0" collapsed="false">
      <c r="A24" s="12" t="s">
        <v>29</v>
      </c>
      <c r="B24" s="13" t="s">
        <v>30</v>
      </c>
      <c r="C24" s="14"/>
      <c r="D24" s="14"/>
      <c r="E24" s="14"/>
      <c r="F24" s="14"/>
      <c r="G24" s="15"/>
    </row>
    <row r="25" customFormat="false" ht="14.25" hidden="false" customHeight="false" outlineLevel="0" collapsed="false">
      <c r="A25" s="16"/>
      <c r="B25" s="17" t="s">
        <v>31</v>
      </c>
      <c r="C25" s="14"/>
      <c r="D25" s="14"/>
      <c r="E25" s="14"/>
      <c r="F25" s="14"/>
      <c r="G25" s="15"/>
    </row>
    <row r="26" customFormat="false" ht="14.25" hidden="false" customHeight="false" outlineLevel="0" collapsed="false">
      <c r="A26" s="16"/>
      <c r="B26" s="17" t="s">
        <v>32</v>
      </c>
      <c r="C26" s="14"/>
      <c r="D26" s="14"/>
      <c r="E26" s="14"/>
      <c r="F26" s="14"/>
      <c r="G26" s="15"/>
    </row>
    <row r="27" customFormat="false" ht="14.25" hidden="false" customHeight="false" outlineLevel="0" collapsed="false">
      <c r="A27" s="16"/>
      <c r="B27" s="17" t="s">
        <v>33</v>
      </c>
      <c r="C27" s="14"/>
      <c r="D27" s="14"/>
      <c r="E27" s="14"/>
      <c r="F27" s="14"/>
      <c r="G27" s="15"/>
    </row>
    <row r="28" customFormat="false" ht="14.25" hidden="false" customHeight="false" outlineLevel="0" collapsed="false">
      <c r="A28" s="16"/>
      <c r="B28" s="17" t="s">
        <v>34</v>
      </c>
      <c r="C28" s="14"/>
      <c r="D28" s="14"/>
      <c r="E28" s="14"/>
      <c r="F28" s="14"/>
      <c r="G28" s="15"/>
    </row>
    <row r="29" customFormat="false" ht="14.25" hidden="false" customHeight="false" outlineLevel="0" collapsed="false">
      <c r="A29" s="16"/>
      <c r="B29" s="17" t="s">
        <v>35</v>
      </c>
      <c r="C29" s="14"/>
      <c r="D29" s="14"/>
      <c r="E29" s="14"/>
      <c r="F29" s="14"/>
      <c r="G29" s="15"/>
    </row>
    <row r="30" customFormat="false" ht="14.25" hidden="false" customHeight="false" outlineLevel="0" collapsed="false">
      <c r="A30" s="16"/>
      <c r="B30" s="17" t="s">
        <v>36</v>
      </c>
      <c r="C30" s="14"/>
      <c r="D30" s="14"/>
      <c r="E30" s="14"/>
      <c r="F30" s="14"/>
      <c r="G30" s="15"/>
    </row>
    <row r="31" customFormat="false" ht="14.25" hidden="false" customHeight="false" outlineLevel="0" collapsed="false">
      <c r="A31" s="16"/>
      <c r="B31" s="17" t="s">
        <v>37</v>
      </c>
      <c r="C31" s="14"/>
      <c r="D31" s="14"/>
      <c r="E31" s="14"/>
      <c r="F31" s="14"/>
      <c r="G31" s="15"/>
    </row>
    <row r="32" customFormat="false" ht="14.25" hidden="false" customHeight="false" outlineLevel="0" collapsed="false">
      <c r="A32" s="16"/>
      <c r="B32" s="17" t="s">
        <v>38</v>
      </c>
      <c r="C32" s="14"/>
      <c r="D32" s="14"/>
      <c r="E32" s="14"/>
      <c r="F32" s="14"/>
      <c r="G32" s="15"/>
    </row>
    <row r="33" customFormat="false" ht="14.25" hidden="false" customHeight="false" outlineLevel="0" collapsed="false">
      <c r="A33" s="18"/>
      <c r="B33" s="19" t="s">
        <v>39</v>
      </c>
      <c r="C33" s="14"/>
      <c r="D33" s="14"/>
      <c r="E33" s="14"/>
      <c r="F33" s="14"/>
      <c r="G33" s="15"/>
    </row>
    <row r="34" customFormat="false" ht="14.25" hidden="false" customHeight="false" outlineLevel="0" collapsed="false">
      <c r="A34" s="12" t="s">
        <v>40</v>
      </c>
      <c r="B34" s="13" t="s">
        <v>41</v>
      </c>
      <c r="C34" s="14"/>
      <c r="D34" s="14"/>
      <c r="E34" s="14"/>
      <c r="F34" s="14"/>
      <c r="G34" s="15"/>
    </row>
    <row r="35" customFormat="false" ht="14.25" hidden="false" customHeight="false" outlineLevel="0" collapsed="false">
      <c r="A35" s="16"/>
      <c r="B35" s="17" t="s">
        <v>42</v>
      </c>
      <c r="C35" s="14"/>
      <c r="D35" s="14"/>
      <c r="E35" s="14"/>
      <c r="F35" s="14"/>
      <c r="G35" s="15"/>
    </row>
    <row r="36" customFormat="false" ht="14.25" hidden="false" customHeight="false" outlineLevel="0" collapsed="false">
      <c r="A36" s="16"/>
      <c r="B36" s="17" t="s">
        <v>43</v>
      </c>
      <c r="C36" s="14"/>
      <c r="D36" s="14"/>
      <c r="E36" s="14"/>
      <c r="F36" s="14"/>
      <c r="G36" s="15"/>
    </row>
    <row r="37" customFormat="false" ht="14.25" hidden="false" customHeight="false" outlineLevel="0" collapsed="false">
      <c r="A37" s="16"/>
      <c r="B37" s="17" t="s">
        <v>44</v>
      </c>
      <c r="C37" s="14"/>
      <c r="D37" s="14"/>
      <c r="E37" s="14"/>
      <c r="F37" s="14"/>
      <c r="G37" s="15"/>
    </row>
    <row r="38" customFormat="false" ht="14.25" hidden="false" customHeight="false" outlineLevel="0" collapsed="false">
      <c r="A38" s="16"/>
      <c r="B38" s="17" t="s">
        <v>45</v>
      </c>
      <c r="C38" s="14"/>
      <c r="D38" s="14"/>
      <c r="E38" s="14"/>
      <c r="F38" s="14"/>
      <c r="G38" s="15"/>
    </row>
    <row r="39" customFormat="false" ht="14.25" hidden="false" customHeight="false" outlineLevel="0" collapsed="false">
      <c r="A39" s="16"/>
      <c r="B39" s="17" t="s">
        <v>46</v>
      </c>
      <c r="C39" s="14"/>
      <c r="D39" s="14"/>
      <c r="E39" s="14"/>
      <c r="F39" s="14"/>
      <c r="G39" s="15"/>
    </row>
    <row r="40" customFormat="false" ht="14.25" hidden="false" customHeight="false" outlineLevel="0" collapsed="false">
      <c r="A40" s="16"/>
      <c r="B40" s="17" t="s">
        <v>47</v>
      </c>
      <c r="C40" s="14"/>
      <c r="D40" s="14"/>
      <c r="E40" s="14"/>
      <c r="F40" s="14"/>
      <c r="G40" s="15"/>
    </row>
    <row r="41" customFormat="false" ht="14.25" hidden="false" customHeight="false" outlineLevel="0" collapsed="false">
      <c r="A41" s="16"/>
      <c r="B41" s="17" t="s">
        <v>48</v>
      </c>
      <c r="C41" s="14"/>
      <c r="D41" s="14"/>
      <c r="E41" s="14"/>
      <c r="F41" s="14"/>
      <c r="G41" s="15"/>
    </row>
    <row r="42" customFormat="false" ht="14.25" hidden="false" customHeight="false" outlineLevel="0" collapsed="false">
      <c r="A42" s="16"/>
      <c r="B42" s="17" t="s">
        <v>49</v>
      </c>
      <c r="C42" s="14"/>
      <c r="D42" s="14"/>
      <c r="E42" s="14"/>
      <c r="F42" s="14"/>
      <c r="G42" s="15"/>
    </row>
    <row r="43" customFormat="false" ht="14.25" hidden="false" customHeight="false" outlineLevel="0" collapsed="false">
      <c r="A43" s="16"/>
      <c r="B43" s="17" t="s">
        <v>50</v>
      </c>
      <c r="C43" s="14"/>
      <c r="D43" s="14"/>
      <c r="E43" s="14"/>
      <c r="F43" s="14"/>
      <c r="G43" s="15"/>
    </row>
    <row r="44" customFormat="false" ht="14.25" hidden="false" customHeight="false" outlineLevel="0" collapsed="false">
      <c r="A44" s="16"/>
      <c r="B44" s="17" t="s">
        <v>51</v>
      </c>
      <c r="C44" s="14"/>
      <c r="D44" s="14"/>
      <c r="E44" s="14"/>
      <c r="F44" s="14"/>
      <c r="G44" s="15"/>
    </row>
    <row r="45" customFormat="false" ht="14.25" hidden="false" customHeight="false" outlineLevel="0" collapsed="false">
      <c r="A45" s="18"/>
      <c r="B45" s="19" t="s">
        <v>52</v>
      </c>
      <c r="C45" s="14"/>
      <c r="D45" s="14"/>
      <c r="E45" s="14"/>
      <c r="F45" s="14"/>
      <c r="G45" s="15"/>
    </row>
    <row r="46" customFormat="false" ht="14.25" hidden="false" customHeight="false" outlineLevel="0" collapsed="false">
      <c r="A46" s="20" t="s">
        <v>53</v>
      </c>
      <c r="B46" s="21" t="s">
        <v>54</v>
      </c>
      <c r="C46" s="14"/>
      <c r="D46" s="14"/>
      <c r="E46" s="14"/>
      <c r="F46" s="14"/>
      <c r="G46" s="15"/>
    </row>
    <row r="47" customFormat="false" ht="14.25" hidden="false" customHeight="false" outlineLevel="0" collapsed="false">
      <c r="A47" s="20" t="s">
        <v>55</v>
      </c>
      <c r="B47" s="21" t="s">
        <v>56</v>
      </c>
      <c r="C47" s="14"/>
      <c r="D47" s="14"/>
      <c r="E47" s="14"/>
      <c r="F47" s="14"/>
      <c r="G47" s="15"/>
    </row>
    <row r="48" customFormat="false" ht="14.25" hidden="false" customHeight="false" outlineLevel="0" collapsed="false">
      <c r="A48" s="12" t="s">
        <v>57</v>
      </c>
      <c r="B48" s="13" t="s">
        <v>58</v>
      </c>
      <c r="C48" s="14"/>
      <c r="D48" s="14"/>
      <c r="E48" s="14"/>
      <c r="F48" s="14"/>
      <c r="G48" s="15"/>
    </row>
    <row r="49" customFormat="false" ht="14.25" hidden="false" customHeight="false" outlineLevel="0" collapsed="false">
      <c r="A49" s="16"/>
      <c r="B49" s="17" t="s">
        <v>59</v>
      </c>
      <c r="C49" s="14"/>
      <c r="D49" s="14"/>
      <c r="E49" s="14"/>
      <c r="F49" s="14"/>
      <c r="G49" s="15"/>
    </row>
    <row r="50" customFormat="false" ht="14.25" hidden="false" customHeight="false" outlineLevel="0" collapsed="false">
      <c r="A50" s="16"/>
      <c r="B50" s="17" t="s">
        <v>60</v>
      </c>
      <c r="C50" s="14"/>
      <c r="D50" s="14"/>
      <c r="E50" s="14"/>
      <c r="F50" s="14"/>
      <c r="G50" s="15"/>
    </row>
    <row r="51" customFormat="false" ht="14.25" hidden="false" customHeight="false" outlineLevel="0" collapsed="false">
      <c r="A51" s="16"/>
      <c r="B51" s="17" t="s">
        <v>61</v>
      </c>
      <c r="C51" s="14"/>
      <c r="D51" s="14"/>
      <c r="E51" s="14"/>
      <c r="F51" s="14"/>
      <c r="G51" s="15"/>
    </row>
    <row r="52" customFormat="false" ht="14.25" hidden="false" customHeight="false" outlineLevel="0" collapsed="false">
      <c r="A52" s="16"/>
      <c r="B52" s="17" t="s">
        <v>62</v>
      </c>
      <c r="C52" s="14"/>
      <c r="D52" s="14"/>
      <c r="E52" s="14"/>
      <c r="F52" s="14"/>
      <c r="G52" s="15"/>
    </row>
    <row r="53" customFormat="false" ht="14.25" hidden="false" customHeight="false" outlineLevel="0" collapsed="false">
      <c r="A53" s="18"/>
      <c r="B53" s="19" t="s">
        <v>63</v>
      </c>
      <c r="C53" s="14"/>
      <c r="D53" s="14"/>
      <c r="E53" s="14"/>
      <c r="F53" s="14"/>
      <c r="G53" s="15"/>
    </row>
    <row r="54" customFormat="false" ht="14.25" hidden="false" customHeight="false" outlineLevel="0" collapsed="false">
      <c r="A54" s="12" t="s">
        <v>64</v>
      </c>
      <c r="B54" s="13" t="s">
        <v>65</v>
      </c>
      <c r="C54" s="14"/>
      <c r="D54" s="14"/>
      <c r="E54" s="14"/>
      <c r="F54" s="14"/>
      <c r="G54" s="15"/>
    </row>
    <row r="55" customFormat="false" ht="14.25" hidden="false" customHeight="false" outlineLevel="0" collapsed="false">
      <c r="A55" s="16"/>
      <c r="B55" s="17" t="s">
        <v>66</v>
      </c>
      <c r="C55" s="14"/>
      <c r="D55" s="14"/>
      <c r="E55" s="14"/>
      <c r="F55" s="14"/>
      <c r="G55" s="15"/>
    </row>
    <row r="56" customFormat="false" ht="14.25" hidden="false" customHeight="false" outlineLevel="0" collapsed="false">
      <c r="A56" s="16"/>
      <c r="B56" s="17" t="s">
        <v>67</v>
      </c>
      <c r="C56" s="14"/>
      <c r="D56" s="14"/>
      <c r="E56" s="14"/>
      <c r="F56" s="14"/>
      <c r="G56" s="15"/>
    </row>
    <row r="57" customFormat="false" ht="14.25" hidden="false" customHeight="false" outlineLevel="0" collapsed="false">
      <c r="A57" s="18"/>
      <c r="B57" s="19" t="s">
        <v>68</v>
      </c>
      <c r="C57" s="14"/>
      <c r="D57" s="14"/>
      <c r="E57" s="14"/>
      <c r="F57" s="14"/>
      <c r="G57" s="15"/>
    </row>
    <row r="58" customFormat="false" ht="14.25" hidden="false" customHeight="false" outlineLevel="0" collapsed="false">
      <c r="A58" s="12" t="s">
        <v>69</v>
      </c>
      <c r="B58" s="13" t="s">
        <v>70</v>
      </c>
      <c r="C58" s="14"/>
      <c r="D58" s="14"/>
      <c r="E58" s="14"/>
      <c r="F58" s="14"/>
      <c r="G58" s="15"/>
    </row>
    <row r="59" customFormat="false" ht="14.25" hidden="false" customHeight="false" outlineLevel="0" collapsed="false">
      <c r="A59" s="16"/>
      <c r="B59" s="17" t="s">
        <v>71</v>
      </c>
      <c r="C59" s="14"/>
      <c r="D59" s="14"/>
      <c r="E59" s="14"/>
      <c r="F59" s="14"/>
      <c r="G59" s="15"/>
    </row>
    <row r="60" customFormat="false" ht="14.25" hidden="false" customHeight="false" outlineLevel="0" collapsed="false">
      <c r="A60" s="16"/>
      <c r="B60" s="17" t="s">
        <v>72</v>
      </c>
      <c r="C60" s="14"/>
      <c r="D60" s="14"/>
      <c r="E60" s="14"/>
      <c r="F60" s="14"/>
      <c r="G60" s="15"/>
    </row>
    <row r="61" customFormat="false" ht="14.25" hidden="false" customHeight="false" outlineLevel="0" collapsed="false">
      <c r="A61" s="16"/>
      <c r="B61" s="17" t="s">
        <v>73</v>
      </c>
      <c r="C61" s="14"/>
      <c r="D61" s="14"/>
      <c r="E61" s="14"/>
      <c r="F61" s="14"/>
      <c r="G61" s="15"/>
    </row>
    <row r="62" customFormat="false" ht="14.25" hidden="false" customHeight="false" outlineLevel="0" collapsed="false">
      <c r="A62" s="16"/>
      <c r="B62" s="17" t="s">
        <v>74</v>
      </c>
      <c r="C62" s="14"/>
      <c r="D62" s="14"/>
      <c r="E62" s="14"/>
      <c r="F62" s="14"/>
      <c r="G62" s="15"/>
    </row>
    <row r="63" customFormat="false" ht="14.25" hidden="false" customHeight="false" outlineLevel="0" collapsed="false">
      <c r="A63" s="16"/>
      <c r="B63" s="17" t="s">
        <v>75</v>
      </c>
      <c r="C63" s="14"/>
      <c r="D63" s="14"/>
      <c r="E63" s="14"/>
      <c r="F63" s="14"/>
      <c r="G63" s="15"/>
    </row>
    <row r="64" customFormat="false" ht="14.25" hidden="false" customHeight="false" outlineLevel="0" collapsed="false">
      <c r="A64" s="16"/>
      <c r="B64" s="17" t="s">
        <v>76</v>
      </c>
      <c r="C64" s="14"/>
      <c r="D64" s="14"/>
      <c r="E64" s="14"/>
      <c r="F64" s="14"/>
      <c r="G64" s="15"/>
    </row>
    <row r="65" customFormat="false" ht="14.25" hidden="false" customHeight="false" outlineLevel="0" collapsed="false">
      <c r="A65" s="16"/>
      <c r="B65" s="17" t="s">
        <v>77</v>
      </c>
      <c r="C65" s="14"/>
      <c r="D65" s="14"/>
      <c r="E65" s="14"/>
      <c r="F65" s="14"/>
      <c r="G65" s="15"/>
    </row>
    <row r="66" customFormat="false" ht="14.25" hidden="false" customHeight="false" outlineLevel="0" collapsed="false">
      <c r="A66" s="16"/>
      <c r="B66" s="17" t="s">
        <v>78</v>
      </c>
      <c r="C66" s="14"/>
      <c r="D66" s="14"/>
      <c r="E66" s="14"/>
      <c r="F66" s="14"/>
      <c r="G66" s="15"/>
    </row>
    <row r="67" customFormat="false" ht="14.25" hidden="false" customHeight="false" outlineLevel="0" collapsed="false">
      <c r="A67" s="16"/>
      <c r="B67" s="17" t="s">
        <v>79</v>
      </c>
      <c r="C67" s="14"/>
      <c r="D67" s="14"/>
      <c r="E67" s="14"/>
      <c r="F67" s="14"/>
      <c r="G67" s="15"/>
    </row>
    <row r="68" customFormat="false" ht="14.25" hidden="false" customHeight="false" outlineLevel="0" collapsed="false">
      <c r="A68" s="16"/>
      <c r="B68" s="17" t="s">
        <v>68</v>
      </c>
      <c r="C68" s="14"/>
      <c r="D68" s="14"/>
      <c r="E68" s="14"/>
      <c r="F68" s="14"/>
      <c r="G68" s="15"/>
    </row>
    <row r="69" customFormat="false" ht="14.25" hidden="false" customHeight="false" outlineLevel="0" collapsed="false">
      <c r="A69" s="18"/>
      <c r="B69" s="19" t="s">
        <v>80</v>
      </c>
      <c r="C69" s="14"/>
      <c r="D69" s="14"/>
      <c r="E69" s="14"/>
      <c r="F69" s="14"/>
      <c r="G69" s="15"/>
    </row>
    <row r="70" customFormat="false" ht="14.25" hidden="false" customHeight="false" outlineLevel="0" collapsed="false">
      <c r="A70" s="12" t="s">
        <v>81</v>
      </c>
      <c r="B70" s="13" t="s">
        <v>82</v>
      </c>
      <c r="C70" s="14"/>
      <c r="D70" s="14"/>
      <c r="E70" s="14"/>
      <c r="F70" s="14"/>
      <c r="G70" s="15"/>
    </row>
    <row r="71" customFormat="false" ht="14.25" hidden="false" customHeight="false" outlineLevel="0" collapsed="false">
      <c r="A71" s="18"/>
      <c r="B71" s="19" t="s">
        <v>83</v>
      </c>
      <c r="C71" s="14"/>
      <c r="D71" s="14"/>
      <c r="E71" s="14"/>
      <c r="F71" s="14"/>
      <c r="G71" s="15"/>
    </row>
    <row r="72" customFormat="false" ht="14.25" hidden="false" customHeight="false" outlineLevel="0" collapsed="false">
      <c r="A72" s="20" t="s">
        <v>84</v>
      </c>
      <c r="B72" s="21" t="s">
        <v>85</v>
      </c>
      <c r="C72" s="14"/>
      <c r="D72" s="14"/>
      <c r="E72" s="14"/>
      <c r="F72" s="14"/>
      <c r="G72" s="15"/>
    </row>
    <row r="73" customFormat="false" ht="14.25" hidden="false" customHeight="false" outlineLevel="0" collapsed="false">
      <c r="A73" s="20" t="s">
        <v>86</v>
      </c>
      <c r="B73" s="21" t="s">
        <v>87</v>
      </c>
      <c r="C73" s="14"/>
      <c r="D73" s="14"/>
      <c r="E73" s="14"/>
      <c r="F73" s="14"/>
      <c r="G73" s="15"/>
    </row>
    <row r="74" customFormat="false" ht="14.25" hidden="false" customHeight="false" outlineLevel="0" collapsed="false">
      <c r="A74" s="20" t="s">
        <v>88</v>
      </c>
      <c r="B74" s="21" t="s">
        <v>89</v>
      </c>
      <c r="C74" s="14"/>
      <c r="D74" s="14"/>
      <c r="E74" s="14"/>
      <c r="F74" s="14"/>
      <c r="G74" s="15"/>
    </row>
    <row r="75" customFormat="false" ht="14.25" hidden="false" customHeight="false" outlineLevel="0" collapsed="false">
      <c r="A75" s="20" t="s">
        <v>90</v>
      </c>
      <c r="B75" s="21" t="s">
        <v>91</v>
      </c>
      <c r="C75" s="14"/>
      <c r="D75" s="14"/>
      <c r="E75" s="14"/>
      <c r="F75" s="14"/>
      <c r="G75" s="15"/>
    </row>
    <row r="76" customFormat="false" ht="14.25" hidden="false" customHeight="false" outlineLevel="0" collapsed="false">
      <c r="A76" s="20" t="s">
        <v>92</v>
      </c>
      <c r="B76" s="21" t="s">
        <v>93</v>
      </c>
      <c r="C76" s="14"/>
      <c r="D76" s="14"/>
      <c r="E76" s="14"/>
      <c r="F76" s="14"/>
      <c r="G76" s="15"/>
    </row>
    <row r="77" customFormat="false" ht="14.25" hidden="false" customHeight="false" outlineLevel="0" collapsed="false">
      <c r="A77" s="20" t="s">
        <v>94</v>
      </c>
      <c r="B77" s="21" t="s">
        <v>95</v>
      </c>
      <c r="C77" s="14"/>
      <c r="D77" s="14"/>
      <c r="E77" s="14"/>
      <c r="F77" s="14"/>
      <c r="G77" s="15"/>
    </row>
    <row r="78" customFormat="false" ht="14.25" hidden="false" customHeight="false" outlineLevel="0" collapsed="false">
      <c r="A78" s="20" t="s">
        <v>96</v>
      </c>
      <c r="B78" s="21" t="s">
        <v>97</v>
      </c>
      <c r="C78" s="14"/>
      <c r="D78" s="14"/>
      <c r="E78" s="14"/>
      <c r="F78" s="14"/>
      <c r="G78" s="15"/>
    </row>
    <row r="79" customFormat="false" ht="14.25" hidden="false" customHeight="false" outlineLevel="0" collapsed="false">
      <c r="A79" s="20" t="s">
        <v>98</v>
      </c>
      <c r="B79" s="21" t="s">
        <v>99</v>
      </c>
      <c r="C79" s="14"/>
      <c r="D79" s="14"/>
      <c r="E79" s="14"/>
      <c r="F79" s="14"/>
      <c r="G79" s="15"/>
    </row>
    <row r="80" customFormat="false" ht="14.25" hidden="false" customHeight="false" outlineLevel="0" collapsed="false">
      <c r="A80" s="20" t="s">
        <v>100</v>
      </c>
      <c r="B80" s="21" t="s">
        <v>101</v>
      </c>
      <c r="C80" s="14"/>
      <c r="D80" s="14"/>
      <c r="E80" s="14"/>
      <c r="F80" s="14"/>
      <c r="G80" s="15"/>
    </row>
    <row r="81" customFormat="false" ht="14.25" hidden="false" customHeight="false" outlineLevel="0" collapsed="false">
      <c r="A81" s="20" t="s">
        <v>102</v>
      </c>
      <c r="B81" s="21" t="s">
        <v>51</v>
      </c>
      <c r="C81" s="14"/>
      <c r="D81" s="14"/>
      <c r="E81" s="14"/>
      <c r="F81" s="14"/>
      <c r="G81" s="15"/>
    </row>
    <row r="82" customFormat="false" ht="14.25" hidden="false" customHeight="false" outlineLevel="0" collapsed="false">
      <c r="A82" s="20" t="s">
        <v>103</v>
      </c>
      <c r="B82" s="21" t="s">
        <v>104</v>
      </c>
      <c r="C82" s="14"/>
      <c r="D82" s="14"/>
      <c r="E82" s="14"/>
      <c r="F82" s="14"/>
      <c r="G82" s="15"/>
    </row>
    <row r="83" customFormat="false" ht="14.25" hidden="false" customHeight="false" outlineLevel="0" collapsed="false">
      <c r="A83" s="20" t="s">
        <v>105</v>
      </c>
      <c r="B83" s="21" t="s">
        <v>106</v>
      </c>
      <c r="C83" s="14"/>
      <c r="D83" s="14"/>
      <c r="E83" s="14"/>
      <c r="F83" s="14"/>
      <c r="G83" s="15"/>
    </row>
    <row r="84" customFormat="false" ht="14.25" hidden="false" customHeight="false" outlineLevel="0" collapsed="false">
      <c r="A84" s="20" t="s">
        <v>107</v>
      </c>
      <c r="B84" s="21" t="s">
        <v>108</v>
      </c>
      <c r="C84" s="14"/>
      <c r="D84" s="14"/>
      <c r="E84" s="14"/>
      <c r="F84" s="14"/>
      <c r="G84" s="15"/>
    </row>
    <row r="85" customFormat="false" ht="14.25" hidden="false" customHeight="false" outlineLevel="0" collapsed="false">
      <c r="A85" s="12" t="s">
        <v>109</v>
      </c>
      <c r="B85" s="13" t="s">
        <v>110</v>
      </c>
      <c r="C85" s="14"/>
      <c r="D85" s="14"/>
      <c r="E85" s="14"/>
      <c r="F85" s="14"/>
      <c r="G85" s="15"/>
    </row>
    <row r="86" customFormat="false" ht="14.25" hidden="false" customHeight="false" outlineLevel="0" collapsed="false">
      <c r="A86" s="16"/>
      <c r="B86" s="17" t="s">
        <v>111</v>
      </c>
      <c r="C86" s="14"/>
      <c r="D86" s="14"/>
      <c r="E86" s="14"/>
      <c r="F86" s="14"/>
      <c r="G86" s="15"/>
    </row>
    <row r="87" customFormat="false" ht="14.25" hidden="false" customHeight="false" outlineLevel="0" collapsed="false">
      <c r="A87" s="16"/>
      <c r="B87" s="17" t="s">
        <v>112</v>
      </c>
      <c r="C87" s="14"/>
      <c r="D87" s="14"/>
      <c r="E87" s="14"/>
      <c r="F87" s="14"/>
      <c r="G87" s="15"/>
    </row>
    <row r="88" customFormat="false" ht="14.25" hidden="false" customHeight="false" outlineLevel="0" collapsed="false">
      <c r="A88" s="16"/>
      <c r="B88" s="17" t="s">
        <v>113</v>
      </c>
      <c r="C88" s="14"/>
      <c r="D88" s="14"/>
      <c r="E88" s="14"/>
      <c r="F88" s="14"/>
      <c r="G88" s="15"/>
    </row>
    <row r="89" customFormat="false" ht="14.25" hidden="false" customHeight="false" outlineLevel="0" collapsed="false">
      <c r="A89" s="16"/>
      <c r="B89" s="17" t="s">
        <v>114</v>
      </c>
      <c r="C89" s="14"/>
      <c r="D89" s="14"/>
      <c r="E89" s="14"/>
      <c r="F89" s="14"/>
      <c r="G89" s="15"/>
    </row>
    <row r="90" customFormat="false" ht="14.25" hidden="false" customHeight="false" outlineLevel="0" collapsed="false">
      <c r="A90" s="18"/>
      <c r="B90" s="19" t="s">
        <v>115</v>
      </c>
      <c r="C90" s="14"/>
      <c r="D90" s="14"/>
      <c r="E90" s="14"/>
      <c r="F90" s="14"/>
      <c r="G90" s="15"/>
    </row>
    <row r="91" customFormat="false" ht="14.25" hidden="false" customHeight="false" outlineLevel="0" collapsed="false">
      <c r="A91" s="12" t="s">
        <v>116</v>
      </c>
      <c r="B91" s="13" t="s">
        <v>117</v>
      </c>
      <c r="C91" s="14"/>
      <c r="D91" s="14"/>
      <c r="E91" s="14"/>
      <c r="F91" s="14"/>
      <c r="G91" s="15"/>
    </row>
    <row r="92" customFormat="false" ht="14.25" hidden="false" customHeight="false" outlineLevel="0" collapsed="false">
      <c r="A92" s="16"/>
      <c r="B92" s="17" t="s">
        <v>118</v>
      </c>
      <c r="C92" s="14"/>
      <c r="D92" s="14"/>
      <c r="E92" s="14"/>
      <c r="F92" s="14"/>
      <c r="G92" s="15"/>
    </row>
    <row r="93" customFormat="false" ht="14.25" hidden="false" customHeight="false" outlineLevel="0" collapsed="false">
      <c r="A93" s="16"/>
      <c r="B93" s="17" t="s">
        <v>119</v>
      </c>
      <c r="C93" s="14"/>
      <c r="D93" s="14"/>
      <c r="E93" s="14"/>
      <c r="F93" s="14"/>
      <c r="G93" s="15"/>
    </row>
    <row r="94" customFormat="false" ht="14.25" hidden="false" customHeight="false" outlineLevel="0" collapsed="false">
      <c r="A94" s="18"/>
      <c r="B94" s="19" t="s">
        <v>120</v>
      </c>
      <c r="C94" s="14"/>
      <c r="D94" s="14"/>
      <c r="E94" s="14"/>
      <c r="F94" s="14"/>
      <c r="G94" s="15"/>
    </row>
    <row r="95" customFormat="false" ht="14.25" hidden="false" customHeight="false" outlineLevel="0" collapsed="false">
      <c r="A95" s="12" t="s">
        <v>121</v>
      </c>
      <c r="B95" s="13" t="s">
        <v>122</v>
      </c>
      <c r="C95" s="14"/>
      <c r="D95" s="14"/>
      <c r="E95" s="14"/>
      <c r="F95" s="14"/>
      <c r="G95" s="15"/>
    </row>
    <row r="96" customFormat="false" ht="14.25" hidden="false" customHeight="false" outlineLevel="0" collapsed="false">
      <c r="A96" s="16"/>
      <c r="B96" s="17" t="s">
        <v>123</v>
      </c>
      <c r="C96" s="14"/>
      <c r="D96" s="14"/>
      <c r="E96" s="14"/>
      <c r="F96" s="14"/>
      <c r="G96" s="15"/>
    </row>
    <row r="97" customFormat="false" ht="14.25" hidden="false" customHeight="false" outlineLevel="0" collapsed="false">
      <c r="A97" s="16"/>
      <c r="B97" s="17" t="s">
        <v>124</v>
      </c>
      <c r="C97" s="14"/>
      <c r="D97" s="14"/>
      <c r="E97" s="14"/>
      <c r="F97" s="14"/>
      <c r="G97" s="15"/>
    </row>
    <row r="98" customFormat="false" ht="14.25" hidden="false" customHeight="false" outlineLevel="0" collapsed="false">
      <c r="A98" s="16"/>
      <c r="B98" s="17" t="s">
        <v>125</v>
      </c>
      <c r="C98" s="14"/>
      <c r="D98" s="14"/>
      <c r="E98" s="14"/>
      <c r="F98" s="14"/>
      <c r="G98" s="15"/>
    </row>
    <row r="99" customFormat="false" ht="14.25" hidden="false" customHeight="false" outlineLevel="0" collapsed="false">
      <c r="A99" s="16"/>
      <c r="B99" s="17" t="s">
        <v>126</v>
      </c>
      <c r="C99" s="14"/>
      <c r="D99" s="14"/>
      <c r="E99" s="14"/>
      <c r="F99" s="14"/>
      <c r="G99" s="15"/>
    </row>
    <row r="100" customFormat="false" ht="14.25" hidden="false" customHeight="false" outlineLevel="0" collapsed="false">
      <c r="A100" s="18"/>
      <c r="B100" s="19" t="s">
        <v>127</v>
      </c>
      <c r="C100" s="14"/>
      <c r="D100" s="14"/>
      <c r="E100" s="14"/>
      <c r="F100" s="14"/>
      <c r="G100" s="15"/>
    </row>
    <row r="101" customFormat="false" ht="14.25" hidden="false" customHeight="false" outlineLevel="0" collapsed="false">
      <c r="A101" s="20" t="s">
        <v>0</v>
      </c>
      <c r="B101" s="21" t="s">
        <v>0</v>
      </c>
      <c r="C101" s="14"/>
      <c r="D101" s="14"/>
      <c r="E101" s="14"/>
      <c r="F101" s="14"/>
      <c r="G101" s="15"/>
    </row>
    <row r="102" customFormat="false" ht="14.25" hidden="false" customHeight="false" outlineLevel="0" collapsed="false">
      <c r="A102" s="22" t="s">
        <v>7</v>
      </c>
      <c r="B102" s="23"/>
      <c r="C102" s="24"/>
      <c r="D102" s="24"/>
      <c r="E102" s="24"/>
      <c r="F102" s="24"/>
      <c r="G102" s="25"/>
    </row>
    <row r="112" customFormat="false" ht="28.5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6"/>
  <sheetViews>
    <sheetView showFormulas="false" showGridLines="true" showRowColHeaders="true" showZeros="true" rightToLeft="false" tabSelected="false" showOutlineSymbols="true" defaultGridColor="true" view="normal" topLeftCell="F1" colorId="64" zoomScale="100" zoomScaleNormal="100" zoomScalePageLayoutView="100" workbookViewId="0">
      <pane xSplit="0" ySplit="1" topLeftCell="A2" activePane="bottomLeft" state="frozen"/>
      <selection pane="topLeft" activeCell="F1" activeCellId="0" sqref="F1"/>
      <selection pane="bottomLeft" activeCell="R1" activeCellId="0" sqref="R1"/>
    </sheetView>
  </sheetViews>
  <sheetFormatPr defaultColWidth="8.73046875" defaultRowHeight="14.25" customHeight="true" zeroHeight="false" outlineLevelRow="0" outlineLevelCol="0"/>
  <cols>
    <col collapsed="false" customWidth="true" hidden="false" outlineLevel="0" max="1" min="1" style="1" width="28.27"/>
    <col collapsed="false" customWidth="true" hidden="false" outlineLevel="0" max="2" min="2" style="1" width="20"/>
    <col collapsed="false" customWidth="true" hidden="false" outlineLevel="0" max="3" min="3" style="1" width="12.09"/>
    <col collapsed="false" customWidth="true" hidden="false" outlineLevel="0" max="4" min="4" style="1" width="11.82"/>
    <col collapsed="false" customWidth="true" hidden="false" outlineLevel="0" max="5" min="5" style="26" width="23.82"/>
    <col collapsed="false" customWidth="true" hidden="false" outlineLevel="0" max="6" min="6" style="26" width="20.54"/>
    <col collapsed="false" customWidth="true" hidden="false" outlineLevel="0" max="7" min="7" style="26" width="18.82"/>
    <col collapsed="false" customWidth="true" hidden="false" outlineLevel="0" max="8" min="8" style="26" width="20"/>
    <col collapsed="false" customWidth="true" hidden="false" outlineLevel="0" max="9" min="9" style="26" width="19.36"/>
    <col collapsed="false" customWidth="true" hidden="false" outlineLevel="0" max="10" min="10" style="1" width="20.03"/>
    <col collapsed="false" customWidth="true" hidden="false" outlineLevel="0" max="11" min="11" style="26" width="35.51"/>
    <col collapsed="false" customWidth="true" hidden="false" outlineLevel="0" max="12" min="12" style="1" width="9.46"/>
    <col collapsed="false" customWidth="true" hidden="false" outlineLevel="0" max="13" min="13" style="1" width="21.47"/>
    <col collapsed="false" customWidth="true" hidden="false" outlineLevel="0" max="14" min="14" style="27" width="15.18"/>
    <col collapsed="false" customWidth="true" hidden="false" outlineLevel="0" max="15" min="15" style="27" width="19.06"/>
    <col collapsed="false" customWidth="true" hidden="false" outlineLevel="0" max="16" min="16" style="27" width="11.12"/>
    <col collapsed="false" customWidth="true" hidden="false" outlineLevel="0" max="17" min="17" style="1" width="8.06"/>
    <col collapsed="false" customWidth="true" hidden="false" outlineLevel="0" max="18" min="18" style="1" width="29.21"/>
  </cols>
  <sheetData>
    <row r="1" s="29" customFormat="true" ht="15" hidden="false" customHeight="false" outlineLevel="0" collapsed="false">
      <c r="A1" s="28" t="s">
        <v>128</v>
      </c>
      <c r="B1" s="28" t="s">
        <v>129</v>
      </c>
      <c r="C1" s="28" t="s">
        <v>130</v>
      </c>
      <c r="D1" s="28" t="s">
        <v>131</v>
      </c>
      <c r="E1" s="28" t="s">
        <v>3</v>
      </c>
      <c r="F1" s="28" t="s">
        <v>132</v>
      </c>
      <c r="G1" s="28" t="s">
        <v>133</v>
      </c>
      <c r="H1" s="28" t="s">
        <v>134</v>
      </c>
      <c r="I1" s="28" t="s">
        <v>135</v>
      </c>
      <c r="J1" s="28" t="s">
        <v>2</v>
      </c>
      <c r="K1" s="28" t="s">
        <v>136</v>
      </c>
      <c r="L1" s="28" t="s">
        <v>1</v>
      </c>
      <c r="M1" s="28" t="s">
        <v>137</v>
      </c>
      <c r="N1" s="28" t="s">
        <v>138</v>
      </c>
      <c r="O1" s="28" t="s">
        <v>139</v>
      </c>
      <c r="P1" s="28" t="s">
        <v>140</v>
      </c>
      <c r="Q1" s="28" t="s">
        <v>141</v>
      </c>
      <c r="R1" s="28" t="s">
        <v>142</v>
      </c>
    </row>
    <row r="2" customFormat="false" ht="14.25" hidden="false" customHeight="false" outlineLevel="0" collapsed="false">
      <c r="A2" s="30" t="n">
        <v>14</v>
      </c>
      <c r="B2" s="30" t="n">
        <v>1</v>
      </c>
      <c r="C2" s="30" t="s">
        <v>143</v>
      </c>
      <c r="D2" s="30" t="s">
        <v>144</v>
      </c>
      <c r="E2" s="30" t="s">
        <v>65</v>
      </c>
      <c r="F2" s="30"/>
      <c r="G2" s="30"/>
      <c r="H2" s="30"/>
      <c r="I2" s="30"/>
      <c r="J2" s="30" t="s">
        <v>64</v>
      </c>
      <c r="K2" s="30" t="str">
        <f aca="false">IFERROR(VLOOKUP(J2,Condensadoras!A:H,7,0),"")</f>
        <v>Azotea - Detrás</v>
      </c>
      <c r="L2" s="30" t="str">
        <f aca="false">IFERROR(VLOOKUP(J2,Condensadoras!A:H,8,0),"")</f>
        <v>R-410A</v>
      </c>
      <c r="M2" s="30" t="s">
        <v>145</v>
      </c>
      <c r="N2" s="30"/>
      <c r="O2" s="30" t="s">
        <v>146</v>
      </c>
      <c r="P2" s="31"/>
      <c r="Q2" s="30"/>
      <c r="R2" s="30"/>
    </row>
    <row r="3" customFormat="false" ht="14.25" hidden="false" customHeight="false" outlineLevel="0" collapsed="false">
      <c r="A3" s="32" t="n">
        <v>18</v>
      </c>
      <c r="B3" s="32" t="n">
        <v>1</v>
      </c>
      <c r="C3" s="32" t="s">
        <v>143</v>
      </c>
      <c r="D3" s="32" t="s">
        <v>144</v>
      </c>
      <c r="E3" s="32" t="s">
        <v>67</v>
      </c>
      <c r="F3" s="32"/>
      <c r="G3" s="32"/>
      <c r="H3" s="32"/>
      <c r="I3" s="32"/>
      <c r="J3" s="32" t="s">
        <v>64</v>
      </c>
      <c r="K3" s="33" t="str">
        <f aca="false">IFERROR(VLOOKUP(J3,Condensadoras!A:H,7,0),"")</f>
        <v>Azotea - Detrás</v>
      </c>
      <c r="L3" s="33" t="str">
        <f aca="false">IFERROR(VLOOKUP(J3,Condensadoras!A:H,8,0),"")</f>
        <v>R-410A</v>
      </c>
      <c r="M3" s="34" t="s">
        <v>145</v>
      </c>
      <c r="N3" s="32"/>
      <c r="O3" s="32" t="s">
        <v>147</v>
      </c>
      <c r="P3" s="32"/>
      <c r="Q3" s="35"/>
      <c r="R3" s="35"/>
    </row>
    <row r="4" customFormat="false" ht="14.25" hidden="false" customHeight="false" outlineLevel="0" collapsed="false">
      <c r="A4" s="32" t="n">
        <v>19</v>
      </c>
      <c r="B4" s="32" t="n">
        <v>1</v>
      </c>
      <c r="C4" s="32" t="s">
        <v>143</v>
      </c>
      <c r="D4" s="32" t="s">
        <v>144</v>
      </c>
      <c r="E4" s="32" t="s">
        <v>68</v>
      </c>
      <c r="F4" s="32"/>
      <c r="G4" s="32"/>
      <c r="H4" s="32"/>
      <c r="I4" s="32"/>
      <c r="J4" s="32" t="s">
        <v>64</v>
      </c>
      <c r="K4" s="33" t="str">
        <f aca="false">IFERROR(VLOOKUP(J4,Condensadoras!A:H,7,0),"")</f>
        <v>Azotea - Detrás</v>
      </c>
      <c r="L4" s="33" t="str">
        <f aca="false">IFERROR(VLOOKUP(J4,Condensadoras!A:H,8,0),"")</f>
        <v>R-410A</v>
      </c>
      <c r="M4" s="34" t="s">
        <v>145</v>
      </c>
      <c r="N4" s="32"/>
      <c r="O4" s="32" t="s">
        <v>147</v>
      </c>
      <c r="P4" s="32"/>
      <c r="Q4" s="35"/>
      <c r="R4" s="35"/>
    </row>
    <row r="5" customFormat="false" ht="14.25" hidden="false" customHeight="false" outlineLevel="0" collapsed="false">
      <c r="A5" s="32" t="n">
        <v>21</v>
      </c>
      <c r="B5" s="32" t="n">
        <v>1</v>
      </c>
      <c r="C5" s="32" t="s">
        <v>143</v>
      </c>
      <c r="D5" s="32" t="s">
        <v>144</v>
      </c>
      <c r="E5" s="32" t="s">
        <v>66</v>
      </c>
      <c r="F5" s="32"/>
      <c r="G5" s="32"/>
      <c r="H5" s="32"/>
      <c r="I5" s="32"/>
      <c r="J5" s="32" t="s">
        <v>64</v>
      </c>
      <c r="K5" s="33" t="str">
        <f aca="false">IFERROR(VLOOKUP(J5,Condensadoras!A:H,7,0),"")</f>
        <v>Azotea - Detrás</v>
      </c>
      <c r="L5" s="33" t="str">
        <f aca="false">IFERROR(VLOOKUP(J5,Condensadoras!A:H,8,0),"")</f>
        <v>R-410A</v>
      </c>
      <c r="M5" s="34" t="s">
        <v>145</v>
      </c>
      <c r="N5" s="32"/>
      <c r="O5" s="32" t="s">
        <v>147</v>
      </c>
      <c r="P5" s="32"/>
      <c r="Q5" s="35"/>
      <c r="R5" s="35"/>
    </row>
    <row r="6" customFormat="false" ht="14.25" hidden="false" customHeight="false" outlineLevel="0" collapsed="false">
      <c r="A6" s="32" t="n">
        <v>9</v>
      </c>
      <c r="B6" s="32" t="n">
        <v>1</v>
      </c>
      <c r="C6" s="32" t="s">
        <v>143</v>
      </c>
      <c r="D6" s="32" t="s">
        <v>144</v>
      </c>
      <c r="E6" s="32" t="s">
        <v>73</v>
      </c>
      <c r="F6" s="32"/>
      <c r="G6" s="32"/>
      <c r="H6" s="32"/>
      <c r="I6" s="32"/>
      <c r="J6" s="32" t="s">
        <v>69</v>
      </c>
      <c r="K6" s="33" t="str">
        <f aca="false">IFERROR(VLOOKUP(J6,Condensadoras!A:H,7,0),"")</f>
        <v>Azotea - Detrás</v>
      </c>
      <c r="L6" s="33" t="str">
        <f aca="false">IFERROR(VLOOKUP(J6,Condensadoras!A:H,8,0),"")</f>
        <v>R-410A</v>
      </c>
      <c r="M6" s="34" t="s">
        <v>145</v>
      </c>
      <c r="N6" s="32"/>
      <c r="O6" s="32" t="s">
        <v>147</v>
      </c>
      <c r="P6" s="32"/>
      <c r="Q6" s="35"/>
      <c r="R6" s="35"/>
    </row>
    <row r="7" customFormat="false" ht="14.25" hidden="false" customHeight="false" outlineLevel="0" collapsed="false">
      <c r="A7" s="32" t="n">
        <v>10</v>
      </c>
      <c r="B7" s="32" t="n">
        <v>1</v>
      </c>
      <c r="C7" s="32" t="s">
        <v>143</v>
      </c>
      <c r="D7" s="32" t="s">
        <v>144</v>
      </c>
      <c r="E7" s="32" t="s">
        <v>70</v>
      </c>
      <c r="F7" s="32"/>
      <c r="G7" s="32"/>
      <c r="H7" s="32"/>
      <c r="I7" s="32"/>
      <c r="J7" s="32" t="s">
        <v>69</v>
      </c>
      <c r="K7" s="33" t="str">
        <f aca="false">IFERROR(VLOOKUP(J7,Condensadoras!A:H,7,0),"")</f>
        <v>Azotea - Detrás</v>
      </c>
      <c r="L7" s="33" t="str">
        <f aca="false">IFERROR(VLOOKUP(J7,Condensadoras!A:H,8,0),"")</f>
        <v>R-410A</v>
      </c>
      <c r="M7" s="34" t="s">
        <v>145</v>
      </c>
      <c r="N7" s="32"/>
      <c r="O7" s="32" t="s">
        <v>148</v>
      </c>
      <c r="P7" s="32"/>
      <c r="Q7" s="35"/>
      <c r="R7" s="35"/>
    </row>
    <row r="8" customFormat="false" ht="14.25" hidden="false" customHeight="false" outlineLevel="0" collapsed="false">
      <c r="A8" s="32" t="n">
        <v>11</v>
      </c>
      <c r="B8" s="32" t="n">
        <v>1</v>
      </c>
      <c r="C8" s="32" t="s">
        <v>143</v>
      </c>
      <c r="D8" s="32" t="s">
        <v>144</v>
      </c>
      <c r="E8" s="32" t="s">
        <v>71</v>
      </c>
      <c r="F8" s="32"/>
      <c r="G8" s="32"/>
      <c r="H8" s="32"/>
      <c r="I8" s="32"/>
      <c r="J8" s="32" t="s">
        <v>69</v>
      </c>
      <c r="K8" s="33" t="str">
        <f aca="false">IFERROR(VLOOKUP(J8,Condensadoras!A:H,7,0),"")</f>
        <v>Azotea - Detrás</v>
      </c>
      <c r="L8" s="33" t="str">
        <f aca="false">IFERROR(VLOOKUP(J8,Condensadoras!A:H,8,0),"")</f>
        <v>R-410A</v>
      </c>
      <c r="M8" s="34" t="s">
        <v>145</v>
      </c>
      <c r="N8" s="32"/>
      <c r="O8" s="32" t="s">
        <v>148</v>
      </c>
      <c r="P8" s="32"/>
      <c r="Q8" s="35"/>
      <c r="R8" s="35"/>
    </row>
    <row r="9" customFormat="false" ht="14.25" hidden="false" customHeight="false" outlineLevel="0" collapsed="false">
      <c r="A9" s="32" t="n">
        <v>11</v>
      </c>
      <c r="B9" s="32" t="n">
        <v>1</v>
      </c>
      <c r="C9" s="32" t="s">
        <v>143</v>
      </c>
      <c r="D9" s="32" t="s">
        <v>144</v>
      </c>
      <c r="E9" s="32" t="s">
        <v>79</v>
      </c>
      <c r="F9" s="32"/>
      <c r="G9" s="32"/>
      <c r="H9" s="32"/>
      <c r="I9" s="32"/>
      <c r="J9" s="32" t="s">
        <v>69</v>
      </c>
      <c r="K9" s="33" t="str">
        <f aca="false">IFERROR(VLOOKUP(J9,Condensadoras!A:H,7,0),"")</f>
        <v>Azotea - Detrás</v>
      </c>
      <c r="L9" s="33" t="str">
        <f aca="false">IFERROR(VLOOKUP(J9,Condensadoras!A:H,8,0),"")</f>
        <v>R-410A</v>
      </c>
      <c r="M9" s="34" t="n">
        <v>39083</v>
      </c>
      <c r="N9" s="32"/>
      <c r="O9" s="32"/>
      <c r="P9" s="32"/>
      <c r="Q9" s="35"/>
      <c r="R9" s="35"/>
    </row>
    <row r="10" customFormat="false" ht="14.25" hidden="false" customHeight="false" outlineLevel="0" collapsed="false">
      <c r="A10" s="32" t="n">
        <v>12</v>
      </c>
      <c r="B10" s="32" t="n">
        <v>1</v>
      </c>
      <c r="C10" s="32" t="s">
        <v>143</v>
      </c>
      <c r="D10" s="32" t="s">
        <v>144</v>
      </c>
      <c r="E10" s="32" t="s">
        <v>72</v>
      </c>
      <c r="F10" s="32"/>
      <c r="G10" s="32"/>
      <c r="H10" s="32"/>
      <c r="I10" s="32"/>
      <c r="J10" s="32" t="s">
        <v>69</v>
      </c>
      <c r="K10" s="33" t="str">
        <f aca="false">IFERROR(VLOOKUP(J10,Condensadoras!A:H,7,0),"")</f>
        <v>Azotea - Detrás</v>
      </c>
      <c r="L10" s="33" t="str">
        <f aca="false">IFERROR(VLOOKUP(J10,Condensadoras!A:H,8,0),"")</f>
        <v>R-410A</v>
      </c>
      <c r="M10" s="34" t="s">
        <v>145</v>
      </c>
      <c r="N10" s="32"/>
      <c r="O10" s="32" t="s">
        <v>148</v>
      </c>
      <c r="P10" s="32"/>
      <c r="Q10" s="35"/>
      <c r="R10" s="35"/>
    </row>
    <row r="11" customFormat="false" ht="14.25" hidden="false" customHeight="false" outlineLevel="0" collapsed="false">
      <c r="A11" s="32" t="n">
        <v>13</v>
      </c>
      <c r="B11" s="32" t="n">
        <v>1</v>
      </c>
      <c r="C11" s="32" t="s">
        <v>143</v>
      </c>
      <c r="D11" s="32" t="s">
        <v>144</v>
      </c>
      <c r="E11" s="32" t="s">
        <v>80</v>
      </c>
      <c r="F11" s="32"/>
      <c r="G11" s="32"/>
      <c r="H11" s="32"/>
      <c r="I11" s="32"/>
      <c r="J11" s="32" t="s">
        <v>69</v>
      </c>
      <c r="K11" s="33" t="str">
        <f aca="false">IFERROR(VLOOKUP(J11,Condensadoras!A:H,7,0),"")</f>
        <v>Azotea - Detrás</v>
      </c>
      <c r="L11" s="33" t="str">
        <f aca="false">IFERROR(VLOOKUP(J11,Condensadoras!A:H,8,0),"")</f>
        <v>R-410A</v>
      </c>
      <c r="M11" s="34" t="s">
        <v>145</v>
      </c>
      <c r="N11" s="32"/>
      <c r="O11" s="32" t="s">
        <v>149</v>
      </c>
      <c r="P11" s="32"/>
      <c r="Q11" s="35"/>
      <c r="R11" s="35"/>
    </row>
    <row r="12" customFormat="false" ht="14.25" hidden="false" customHeight="false" outlineLevel="0" collapsed="false">
      <c r="A12" s="32" t="n">
        <v>14</v>
      </c>
      <c r="B12" s="32" t="n">
        <v>1</v>
      </c>
      <c r="C12" s="32" t="s">
        <v>143</v>
      </c>
      <c r="D12" s="32" t="s">
        <v>144</v>
      </c>
      <c r="E12" s="32" t="s">
        <v>74</v>
      </c>
      <c r="F12" s="32"/>
      <c r="G12" s="32"/>
      <c r="H12" s="32"/>
      <c r="I12" s="32"/>
      <c r="J12" s="32" t="s">
        <v>69</v>
      </c>
      <c r="K12" s="33" t="str">
        <f aca="false">IFERROR(VLOOKUP(J12,Condensadoras!A:H,7,0),"")</f>
        <v>Azotea - Detrás</v>
      </c>
      <c r="L12" s="33" t="str">
        <f aca="false">IFERROR(VLOOKUP(J12,Condensadoras!A:H,8,0),"")</f>
        <v>R-410A</v>
      </c>
      <c r="M12" s="34" t="n">
        <v>39083</v>
      </c>
      <c r="N12" s="32"/>
      <c r="O12" s="32"/>
      <c r="P12" s="32"/>
      <c r="Q12" s="35"/>
      <c r="R12" s="35"/>
    </row>
    <row r="13" customFormat="false" ht="14.25" hidden="false" customHeight="false" outlineLevel="0" collapsed="false">
      <c r="A13" s="32" t="n">
        <v>15</v>
      </c>
      <c r="B13" s="32" t="n">
        <v>1</v>
      </c>
      <c r="C13" s="32" t="s">
        <v>143</v>
      </c>
      <c r="D13" s="32" t="s">
        <v>144</v>
      </c>
      <c r="E13" s="32" t="s">
        <v>75</v>
      </c>
      <c r="F13" s="32"/>
      <c r="G13" s="32"/>
      <c r="H13" s="32"/>
      <c r="I13" s="32"/>
      <c r="J13" s="32" t="s">
        <v>69</v>
      </c>
      <c r="K13" s="33" t="str">
        <f aca="false">IFERROR(VLOOKUP(J13,Condensadoras!A:H,7,0),"")</f>
        <v>Azotea - Detrás</v>
      </c>
      <c r="L13" s="33" t="str">
        <f aca="false">IFERROR(VLOOKUP(J13,Condensadoras!A:H,8,0),"")</f>
        <v>R-410A</v>
      </c>
      <c r="M13" s="34" t="s">
        <v>145</v>
      </c>
      <c r="N13" s="32"/>
      <c r="O13" s="32" t="s">
        <v>148</v>
      </c>
      <c r="P13" s="32"/>
      <c r="Q13" s="35"/>
      <c r="R13" s="35"/>
    </row>
    <row r="14" customFormat="false" ht="14.25" hidden="false" customHeight="false" outlineLevel="0" collapsed="false">
      <c r="A14" s="32" t="n">
        <v>16</v>
      </c>
      <c r="B14" s="32" t="n">
        <v>1</v>
      </c>
      <c r="C14" s="32" t="s">
        <v>143</v>
      </c>
      <c r="D14" s="32" t="s">
        <v>144</v>
      </c>
      <c r="E14" s="32" t="s">
        <v>76</v>
      </c>
      <c r="F14" s="32"/>
      <c r="G14" s="32"/>
      <c r="H14" s="32"/>
      <c r="I14" s="32"/>
      <c r="J14" s="32" t="s">
        <v>69</v>
      </c>
      <c r="K14" s="33" t="str">
        <f aca="false">IFERROR(VLOOKUP(J14,Condensadoras!A:H,7,0),"")</f>
        <v>Azotea - Detrás</v>
      </c>
      <c r="L14" s="33" t="str">
        <f aca="false">IFERROR(VLOOKUP(J14,Condensadoras!A:H,8,0),"")</f>
        <v>R-410A</v>
      </c>
      <c r="M14" s="34" t="s">
        <v>145</v>
      </c>
      <c r="N14" s="32"/>
      <c r="O14" s="32" t="s">
        <v>148</v>
      </c>
      <c r="P14" s="32"/>
      <c r="Q14" s="35"/>
      <c r="R14" s="35"/>
    </row>
    <row r="15" customFormat="false" ht="14.25" hidden="false" customHeight="false" outlineLevel="0" collapsed="false">
      <c r="A15" s="32" t="n">
        <v>17</v>
      </c>
      <c r="B15" s="32" t="n">
        <v>1</v>
      </c>
      <c r="C15" s="32" t="s">
        <v>143</v>
      </c>
      <c r="D15" s="32" t="s">
        <v>144</v>
      </c>
      <c r="E15" s="32" t="s">
        <v>68</v>
      </c>
      <c r="F15" s="32"/>
      <c r="G15" s="32"/>
      <c r="H15" s="32"/>
      <c r="I15" s="32"/>
      <c r="J15" s="32" t="s">
        <v>69</v>
      </c>
      <c r="K15" s="33" t="str">
        <f aca="false">IFERROR(VLOOKUP(J15,Condensadoras!A:H,7,0),"")</f>
        <v>Azotea - Detrás</v>
      </c>
      <c r="L15" s="33" t="str">
        <f aca="false">IFERROR(VLOOKUP(J15,Condensadoras!A:H,8,0),"")</f>
        <v>R-410A</v>
      </c>
      <c r="M15" s="34"/>
      <c r="N15" s="32"/>
      <c r="O15" s="32" t="s">
        <v>147</v>
      </c>
      <c r="P15" s="32"/>
      <c r="Q15" s="35"/>
      <c r="R15" s="35"/>
    </row>
    <row r="16" customFormat="false" ht="14.25" hidden="false" customHeight="false" outlineLevel="0" collapsed="false">
      <c r="A16" s="32" t="s">
        <v>150</v>
      </c>
      <c r="B16" s="32" t="n">
        <v>1</v>
      </c>
      <c r="C16" s="32" t="s">
        <v>143</v>
      </c>
      <c r="D16" s="32" t="s">
        <v>144</v>
      </c>
      <c r="E16" s="32" t="s">
        <v>106</v>
      </c>
      <c r="F16" s="32"/>
      <c r="G16" s="32"/>
      <c r="H16" s="32"/>
      <c r="I16" s="32"/>
      <c r="J16" s="32" t="s">
        <v>105</v>
      </c>
      <c r="K16" s="33" t="str">
        <f aca="false">IFERROR(VLOOKUP(J16,Condensadoras!A:H,7,0),"")</f>
        <v>Patio Olivera</v>
      </c>
      <c r="L16" s="33" t="str">
        <f aca="false">IFERROR(VLOOKUP(J16,Condensadoras!A:H,8,0),"")</f>
        <v>R-410A</v>
      </c>
      <c r="M16" s="34"/>
      <c r="N16" s="32"/>
      <c r="O16" s="32"/>
      <c r="P16" s="32"/>
      <c r="Q16" s="35"/>
      <c r="R16" s="35"/>
    </row>
    <row r="17" customFormat="false" ht="14.25" hidden="false" customHeight="false" outlineLevel="0" collapsed="false">
      <c r="A17" s="32" t="n">
        <v>40</v>
      </c>
      <c r="B17" s="32" t="n">
        <v>1</v>
      </c>
      <c r="C17" s="32" t="s">
        <v>143</v>
      </c>
      <c r="D17" s="32" t="s">
        <v>144</v>
      </c>
      <c r="E17" s="32" t="s">
        <v>108</v>
      </c>
      <c r="F17" s="32"/>
      <c r="G17" s="32"/>
      <c r="H17" s="32"/>
      <c r="I17" s="32"/>
      <c r="J17" s="32" t="s">
        <v>107</v>
      </c>
      <c r="K17" s="33" t="str">
        <f aca="false">IFERROR(VLOOKUP(J17,Condensadoras!A:H,7,0),"")</f>
        <v>Patio Olivera</v>
      </c>
      <c r="L17" s="33" t="str">
        <f aca="false">IFERROR(VLOOKUP(J17,Condensadoras!A:H,8,0),"")</f>
        <v>R-32</v>
      </c>
      <c r="M17" s="34"/>
      <c r="N17" s="32"/>
      <c r="O17" s="32" t="s">
        <v>147</v>
      </c>
      <c r="P17" s="32"/>
      <c r="Q17" s="35"/>
      <c r="R17" s="35"/>
    </row>
    <row r="18" customFormat="false" ht="14.25" hidden="false" customHeight="false" outlineLevel="0" collapsed="false">
      <c r="A18" s="32" t="s">
        <v>151</v>
      </c>
      <c r="B18" s="32" t="n">
        <v>1</v>
      </c>
      <c r="C18" s="32" t="s">
        <v>143</v>
      </c>
      <c r="D18" s="32" t="s">
        <v>144</v>
      </c>
      <c r="E18" s="32" t="s">
        <v>114</v>
      </c>
      <c r="F18" s="32"/>
      <c r="G18" s="32"/>
      <c r="H18" s="32"/>
      <c r="I18" s="32"/>
      <c r="J18" s="32" t="s">
        <v>109</v>
      </c>
      <c r="K18" s="33" t="str">
        <f aca="false">IFERROR(VLOOKUP(J18,Condensadoras!A:H,7,0),"")</f>
        <v>Azotea-Detrás</v>
      </c>
      <c r="L18" s="33" t="str">
        <f aca="false">IFERROR(VLOOKUP(J18,Condensadoras!A:H,8,0),"")</f>
        <v>R-410A</v>
      </c>
      <c r="M18" s="34"/>
      <c r="N18" s="32"/>
      <c r="O18" s="32"/>
      <c r="P18" s="32"/>
      <c r="Q18" s="35"/>
      <c r="R18" s="35"/>
    </row>
    <row r="19" customFormat="false" ht="14.25" hidden="false" customHeight="false" outlineLevel="0" collapsed="false">
      <c r="A19" s="36" t="n">
        <v>45</v>
      </c>
      <c r="B19" s="32" t="n">
        <v>1</v>
      </c>
      <c r="C19" s="32" t="s">
        <v>143</v>
      </c>
      <c r="D19" s="36" t="s">
        <v>144</v>
      </c>
      <c r="E19" s="36" t="s">
        <v>124</v>
      </c>
      <c r="F19" s="36" t="s">
        <v>152</v>
      </c>
      <c r="G19" s="36" t="s">
        <v>153</v>
      </c>
      <c r="H19" s="36" t="s">
        <v>154</v>
      </c>
      <c r="I19" s="36"/>
      <c r="J19" s="36" t="s">
        <v>121</v>
      </c>
      <c r="K19" s="33" t="str">
        <f aca="false">IFERROR(VLOOKUP(J19,Condensadoras!A:H,7,0),"")</f>
        <v>Azotea - Detrás</v>
      </c>
      <c r="L19" s="33" t="str">
        <f aca="false">IFERROR(VLOOKUP(J19,Condensadoras!A:H,8,0),"")</f>
        <v>R-410A</v>
      </c>
      <c r="M19" s="34"/>
      <c r="N19" s="32"/>
      <c r="O19" s="32"/>
      <c r="P19" s="32"/>
      <c r="Q19" s="35"/>
      <c r="R19" s="35"/>
    </row>
    <row r="20" customFormat="false" ht="14.25" hidden="false" customHeight="false" outlineLevel="0" collapsed="false">
      <c r="A20" s="36" t="n">
        <v>46</v>
      </c>
      <c r="B20" s="32" t="n">
        <v>1</v>
      </c>
      <c r="C20" s="32" t="s">
        <v>143</v>
      </c>
      <c r="D20" s="36" t="s">
        <v>144</v>
      </c>
      <c r="E20" s="36" t="s">
        <v>126</v>
      </c>
      <c r="F20" s="36" t="s">
        <v>152</v>
      </c>
      <c r="G20" s="36" t="s">
        <v>153</v>
      </c>
      <c r="H20" s="36" t="s">
        <v>154</v>
      </c>
      <c r="I20" s="36"/>
      <c r="J20" s="36" t="s">
        <v>121</v>
      </c>
      <c r="K20" s="33" t="str">
        <f aca="false">IFERROR(VLOOKUP(J20,Condensadoras!A:H,7,0),"")</f>
        <v>Azotea - Detrás</v>
      </c>
      <c r="L20" s="33" t="str">
        <f aca="false">IFERROR(VLOOKUP(J20,Condensadoras!A:H,8,0),"")</f>
        <v>R-410A</v>
      </c>
      <c r="M20" s="34"/>
      <c r="N20" s="32"/>
      <c r="O20" s="32"/>
      <c r="P20" s="32"/>
      <c r="Q20" s="35"/>
      <c r="R20" s="35"/>
    </row>
    <row r="21" customFormat="false" ht="14.25" hidden="false" customHeight="false" outlineLevel="0" collapsed="false">
      <c r="A21" s="36" t="n">
        <v>47</v>
      </c>
      <c r="B21" s="32" t="n">
        <v>1</v>
      </c>
      <c r="C21" s="32" t="s">
        <v>143</v>
      </c>
      <c r="D21" s="36" t="s">
        <v>144</v>
      </c>
      <c r="E21" s="36" t="s">
        <v>122</v>
      </c>
      <c r="F21" s="36" t="s">
        <v>152</v>
      </c>
      <c r="G21" s="36" t="s">
        <v>153</v>
      </c>
      <c r="H21" s="36" t="s">
        <v>154</v>
      </c>
      <c r="I21" s="36"/>
      <c r="J21" s="36" t="s">
        <v>121</v>
      </c>
      <c r="K21" s="33" t="str">
        <f aca="false">IFERROR(VLOOKUP(J21,Condensadoras!A:H,7,0),"")</f>
        <v>Azotea - Detrás</v>
      </c>
      <c r="L21" s="33" t="str">
        <f aca="false">IFERROR(VLOOKUP(J21,Condensadoras!A:H,8,0),"")</f>
        <v>R-410A</v>
      </c>
      <c r="M21" s="34"/>
      <c r="N21" s="32"/>
      <c r="O21" s="32"/>
      <c r="P21" s="32"/>
      <c r="Q21" s="35"/>
      <c r="R21" s="35"/>
    </row>
    <row r="22" customFormat="false" ht="14.25" hidden="false" customHeight="false" outlineLevel="0" collapsed="false">
      <c r="A22" s="36" t="n">
        <v>48</v>
      </c>
      <c r="B22" s="32" t="n">
        <v>1</v>
      </c>
      <c r="C22" s="32" t="s">
        <v>143</v>
      </c>
      <c r="D22" s="36" t="s">
        <v>144</v>
      </c>
      <c r="E22" s="37" t="s">
        <v>127</v>
      </c>
      <c r="F22" s="36" t="s">
        <v>152</v>
      </c>
      <c r="G22" s="36" t="s">
        <v>153</v>
      </c>
      <c r="H22" s="36" t="s">
        <v>154</v>
      </c>
      <c r="I22" s="36"/>
      <c r="J22" s="36" t="s">
        <v>121</v>
      </c>
      <c r="K22" s="33" t="str">
        <f aca="false">IFERROR(VLOOKUP(J22,Condensadoras!A:H,7,0),"")</f>
        <v>Azotea - Detrás</v>
      </c>
      <c r="L22" s="33" t="str">
        <f aca="false">IFERROR(VLOOKUP(J22,Condensadoras!A:H,8,0),"")</f>
        <v>R-410A</v>
      </c>
      <c r="M22" s="34"/>
      <c r="N22" s="32"/>
      <c r="O22" s="32"/>
      <c r="P22" s="32"/>
      <c r="Q22" s="35"/>
      <c r="R22" s="35"/>
    </row>
    <row r="23" customFormat="false" ht="14.25" hidden="false" customHeight="false" outlineLevel="0" collapsed="false">
      <c r="A23" s="36" t="n">
        <v>49</v>
      </c>
      <c r="B23" s="32" t="n">
        <v>1</v>
      </c>
      <c r="C23" s="32" t="s">
        <v>143</v>
      </c>
      <c r="D23" s="36" t="s">
        <v>144</v>
      </c>
      <c r="E23" s="37" t="s">
        <v>125</v>
      </c>
      <c r="F23" s="36" t="s">
        <v>152</v>
      </c>
      <c r="G23" s="36" t="s">
        <v>153</v>
      </c>
      <c r="H23" s="36" t="s">
        <v>154</v>
      </c>
      <c r="I23" s="36"/>
      <c r="J23" s="36" t="s">
        <v>121</v>
      </c>
      <c r="K23" s="33" t="str">
        <f aca="false">IFERROR(VLOOKUP(J23,Condensadoras!A:H,7,0),"")</f>
        <v>Azotea - Detrás</v>
      </c>
      <c r="L23" s="33" t="str">
        <f aca="false">IFERROR(VLOOKUP(J23,Condensadoras!A:H,8,0),"")</f>
        <v>R-410A</v>
      </c>
      <c r="M23" s="34" t="s">
        <v>155</v>
      </c>
      <c r="N23" s="32"/>
      <c r="O23" s="32" t="s">
        <v>147</v>
      </c>
      <c r="P23" s="32"/>
      <c r="Q23" s="35"/>
      <c r="R23" s="35"/>
    </row>
    <row r="24" customFormat="false" ht="14.25" hidden="false" customHeight="false" outlineLevel="0" collapsed="false">
      <c r="A24" s="32" t="n">
        <v>32</v>
      </c>
      <c r="B24" s="32" t="n">
        <v>1</v>
      </c>
      <c r="C24" s="32" t="s">
        <v>143</v>
      </c>
      <c r="D24" s="32" t="s">
        <v>156</v>
      </c>
      <c r="E24" s="32" t="s">
        <v>41</v>
      </c>
      <c r="F24" s="32"/>
      <c r="G24" s="32"/>
      <c r="H24" s="32"/>
      <c r="I24" s="32"/>
      <c r="J24" s="32" t="s">
        <v>40</v>
      </c>
      <c r="K24" s="33" t="str">
        <f aca="false">IFERROR(VLOOKUP(J24,Condensadoras!A:H,7,0),"")</f>
        <v>Azotea - Detrás</v>
      </c>
      <c r="L24" s="33" t="str">
        <f aca="false">IFERROR(VLOOKUP(J24,Condensadoras!A:H,8,0),"")</f>
        <v>R-410A</v>
      </c>
      <c r="M24" s="34" t="s">
        <v>155</v>
      </c>
      <c r="N24" s="32"/>
      <c r="O24" s="32" t="s">
        <v>147</v>
      </c>
      <c r="P24" s="32"/>
      <c r="Q24" s="35"/>
      <c r="R24" s="35"/>
    </row>
    <row r="25" customFormat="false" ht="14.25" hidden="false" customHeight="false" outlineLevel="0" collapsed="false">
      <c r="A25" s="32" t="n">
        <v>33</v>
      </c>
      <c r="B25" s="32" t="n">
        <v>1</v>
      </c>
      <c r="C25" s="32" t="s">
        <v>143</v>
      </c>
      <c r="D25" s="32" t="s">
        <v>156</v>
      </c>
      <c r="E25" s="32" t="s">
        <v>42</v>
      </c>
      <c r="F25" s="32"/>
      <c r="G25" s="32"/>
      <c r="H25" s="32"/>
      <c r="I25" s="32"/>
      <c r="J25" s="32" t="s">
        <v>40</v>
      </c>
      <c r="K25" s="33" t="str">
        <f aca="false">IFERROR(VLOOKUP(J25,Condensadoras!A:H,7,0),"")</f>
        <v>Azotea - Detrás</v>
      </c>
      <c r="L25" s="33" t="str">
        <f aca="false">IFERROR(VLOOKUP(J25,Condensadoras!A:H,8,0),"")</f>
        <v>R-410A</v>
      </c>
      <c r="M25" s="34" t="s">
        <v>155</v>
      </c>
      <c r="N25" s="32"/>
      <c r="O25" s="32" t="s">
        <v>146</v>
      </c>
      <c r="P25" s="32"/>
      <c r="Q25" s="35"/>
      <c r="R25" s="35"/>
    </row>
    <row r="26" customFormat="false" ht="14.25" hidden="false" customHeight="false" outlineLevel="0" collapsed="false">
      <c r="A26" s="32" t="n">
        <v>34</v>
      </c>
      <c r="B26" s="32" t="n">
        <v>1</v>
      </c>
      <c r="C26" s="32" t="s">
        <v>143</v>
      </c>
      <c r="D26" s="32" t="s">
        <v>156</v>
      </c>
      <c r="E26" s="32" t="s">
        <v>52</v>
      </c>
      <c r="F26" s="32"/>
      <c r="G26" s="32"/>
      <c r="H26" s="32"/>
      <c r="I26" s="32"/>
      <c r="J26" s="32" t="s">
        <v>40</v>
      </c>
      <c r="K26" s="33" t="str">
        <f aca="false">IFERROR(VLOOKUP(J26,Condensadoras!A:H,7,0),"")</f>
        <v>Azotea - Detrás</v>
      </c>
      <c r="L26" s="33" t="str">
        <f aca="false">IFERROR(VLOOKUP(J26,Condensadoras!A:H,8,0),"")</f>
        <v>R-410A</v>
      </c>
      <c r="M26" s="34" t="s">
        <v>155</v>
      </c>
      <c r="N26" s="32"/>
      <c r="O26" s="32" t="s">
        <v>146</v>
      </c>
      <c r="P26" s="32"/>
      <c r="Q26" s="35"/>
      <c r="R26" s="35"/>
    </row>
    <row r="27" customFormat="false" ht="14.25" hidden="false" customHeight="false" outlineLevel="0" collapsed="false">
      <c r="A27" s="32" t="n">
        <v>35</v>
      </c>
      <c r="B27" s="32" t="n">
        <v>1</v>
      </c>
      <c r="C27" s="32" t="s">
        <v>143</v>
      </c>
      <c r="D27" s="32" t="s">
        <v>156</v>
      </c>
      <c r="E27" s="32" t="s">
        <v>51</v>
      </c>
      <c r="F27" s="32"/>
      <c r="G27" s="32"/>
      <c r="H27" s="32"/>
      <c r="I27" s="32"/>
      <c r="J27" s="32" t="s">
        <v>40</v>
      </c>
      <c r="K27" s="33" t="str">
        <f aca="false">IFERROR(VLOOKUP(J27,Condensadoras!A:H,7,0),"")</f>
        <v>Azotea - Detrás</v>
      </c>
      <c r="L27" s="33" t="str">
        <f aca="false">IFERROR(VLOOKUP(J27,Condensadoras!A:H,8,0),"")</f>
        <v>R-410A</v>
      </c>
      <c r="M27" s="34" t="s">
        <v>155</v>
      </c>
      <c r="N27" s="32"/>
      <c r="O27" s="32" t="s">
        <v>147</v>
      </c>
      <c r="P27" s="32"/>
      <c r="Q27" s="35"/>
      <c r="R27" s="35"/>
    </row>
    <row r="28" customFormat="false" ht="14.25" hidden="false" customHeight="false" outlineLevel="0" collapsed="false">
      <c r="A28" s="32" t="n">
        <v>36</v>
      </c>
      <c r="B28" s="32" t="n">
        <v>1</v>
      </c>
      <c r="C28" s="32" t="s">
        <v>143</v>
      </c>
      <c r="D28" s="32" t="s">
        <v>156</v>
      </c>
      <c r="E28" s="32" t="s">
        <v>43</v>
      </c>
      <c r="F28" s="32"/>
      <c r="G28" s="32"/>
      <c r="H28" s="32"/>
      <c r="I28" s="32"/>
      <c r="J28" s="32" t="s">
        <v>40</v>
      </c>
      <c r="K28" s="33" t="str">
        <f aca="false">IFERROR(VLOOKUP(J28,Condensadoras!A:H,7,0),"")</f>
        <v>Azotea - Detrás</v>
      </c>
      <c r="L28" s="33" t="str">
        <f aca="false">IFERROR(VLOOKUP(J28,Condensadoras!A:H,8,0),"")</f>
        <v>R-410A</v>
      </c>
      <c r="M28" s="34" t="s">
        <v>155</v>
      </c>
      <c r="N28" s="32"/>
      <c r="O28" s="32" t="s">
        <v>147</v>
      </c>
      <c r="P28" s="32"/>
      <c r="Q28" s="35"/>
      <c r="R28" s="35"/>
    </row>
    <row r="29" customFormat="false" ht="14.25" hidden="false" customHeight="false" outlineLevel="0" collapsed="false">
      <c r="A29" s="32" t="n">
        <v>37</v>
      </c>
      <c r="B29" s="32" t="n">
        <v>1</v>
      </c>
      <c r="C29" s="32" t="s">
        <v>143</v>
      </c>
      <c r="D29" s="32" t="s">
        <v>156</v>
      </c>
      <c r="E29" s="32" t="s">
        <v>44</v>
      </c>
      <c r="F29" s="32"/>
      <c r="G29" s="32"/>
      <c r="H29" s="32"/>
      <c r="I29" s="32"/>
      <c r="J29" s="32" t="s">
        <v>40</v>
      </c>
      <c r="K29" s="33" t="str">
        <f aca="false">IFERROR(VLOOKUP(J29,Condensadoras!A:H,7,0),"")</f>
        <v>Azotea - Detrás</v>
      </c>
      <c r="L29" s="33" t="str">
        <f aca="false">IFERROR(VLOOKUP(J29,Condensadoras!A:H,8,0),"")</f>
        <v>R-410A</v>
      </c>
      <c r="M29" s="34" t="s">
        <v>155</v>
      </c>
      <c r="N29" s="32"/>
      <c r="O29" s="32" t="s">
        <v>147</v>
      </c>
      <c r="P29" s="32"/>
      <c r="Q29" s="35"/>
      <c r="R29" s="35"/>
    </row>
    <row r="30" customFormat="false" ht="14.25" hidden="false" customHeight="false" outlineLevel="0" collapsed="false">
      <c r="A30" s="32" t="n">
        <v>38</v>
      </c>
      <c r="B30" s="32" t="n">
        <v>1</v>
      </c>
      <c r="C30" s="32" t="s">
        <v>143</v>
      </c>
      <c r="D30" s="32" t="s">
        <v>156</v>
      </c>
      <c r="E30" s="32" t="s">
        <v>45</v>
      </c>
      <c r="F30" s="32"/>
      <c r="G30" s="32"/>
      <c r="H30" s="32"/>
      <c r="I30" s="32"/>
      <c r="J30" s="32" t="s">
        <v>40</v>
      </c>
      <c r="K30" s="33" t="str">
        <f aca="false">IFERROR(VLOOKUP(J30,Condensadoras!A:H,7,0),"")</f>
        <v>Azotea - Detrás</v>
      </c>
      <c r="L30" s="33" t="str">
        <f aca="false">IFERROR(VLOOKUP(J30,Condensadoras!A:H,8,0),"")</f>
        <v>R-410A</v>
      </c>
      <c r="M30" s="34" t="s">
        <v>155</v>
      </c>
      <c r="N30" s="32"/>
      <c r="O30" s="32" t="s">
        <v>147</v>
      </c>
      <c r="P30" s="32"/>
      <c r="Q30" s="35"/>
      <c r="R30" s="35"/>
    </row>
    <row r="31" customFormat="false" ht="14.25" hidden="false" customHeight="false" outlineLevel="0" collapsed="false">
      <c r="A31" s="32" t="n">
        <v>39</v>
      </c>
      <c r="B31" s="32" t="n">
        <v>1</v>
      </c>
      <c r="C31" s="32" t="s">
        <v>143</v>
      </c>
      <c r="D31" s="32" t="s">
        <v>156</v>
      </c>
      <c r="E31" s="32" t="s">
        <v>46</v>
      </c>
      <c r="F31" s="32"/>
      <c r="G31" s="32"/>
      <c r="H31" s="32"/>
      <c r="I31" s="32"/>
      <c r="J31" s="32" t="s">
        <v>40</v>
      </c>
      <c r="K31" s="33" t="str">
        <f aca="false">IFERROR(VLOOKUP(J31,Condensadoras!A:H,7,0),"")</f>
        <v>Azotea - Detrás</v>
      </c>
      <c r="L31" s="33" t="str">
        <f aca="false">IFERROR(VLOOKUP(J31,Condensadoras!A:H,8,0),"")</f>
        <v>R-410A</v>
      </c>
      <c r="M31" s="34" t="s">
        <v>155</v>
      </c>
      <c r="N31" s="32"/>
      <c r="O31" s="32" t="s">
        <v>147</v>
      </c>
      <c r="P31" s="32"/>
      <c r="Q31" s="35"/>
      <c r="R31" s="35"/>
    </row>
    <row r="32" customFormat="false" ht="14.25" hidden="false" customHeight="false" outlineLevel="0" collapsed="false">
      <c r="A32" s="32" t="n">
        <v>40</v>
      </c>
      <c r="B32" s="32" t="n">
        <v>1</v>
      </c>
      <c r="C32" s="32" t="s">
        <v>143</v>
      </c>
      <c r="D32" s="32" t="s">
        <v>156</v>
      </c>
      <c r="E32" s="32" t="s">
        <v>47</v>
      </c>
      <c r="F32" s="32"/>
      <c r="G32" s="32"/>
      <c r="H32" s="32"/>
      <c r="I32" s="32"/>
      <c r="J32" s="32" t="s">
        <v>40</v>
      </c>
      <c r="K32" s="33" t="str">
        <f aca="false">IFERROR(VLOOKUP(J32,Condensadoras!A:H,7,0),"")</f>
        <v>Azotea - Detrás</v>
      </c>
      <c r="L32" s="33" t="str">
        <f aca="false">IFERROR(VLOOKUP(J32,Condensadoras!A:H,8,0),"")</f>
        <v>R-410A</v>
      </c>
      <c r="M32" s="34" t="n">
        <v>40909</v>
      </c>
      <c r="N32" s="32"/>
      <c r="O32" s="32"/>
      <c r="P32" s="32"/>
      <c r="Q32" s="35"/>
      <c r="R32" s="35"/>
    </row>
    <row r="33" customFormat="false" ht="14.25" hidden="false" customHeight="false" outlineLevel="0" collapsed="false">
      <c r="A33" s="32" t="n">
        <v>41</v>
      </c>
      <c r="B33" s="32" t="n">
        <v>1</v>
      </c>
      <c r="C33" s="32" t="s">
        <v>143</v>
      </c>
      <c r="D33" s="32" t="s">
        <v>156</v>
      </c>
      <c r="E33" s="32" t="s">
        <v>48</v>
      </c>
      <c r="F33" s="32"/>
      <c r="G33" s="32"/>
      <c r="H33" s="32"/>
      <c r="I33" s="32"/>
      <c r="J33" s="32" t="s">
        <v>40</v>
      </c>
      <c r="K33" s="33" t="str">
        <f aca="false">IFERROR(VLOOKUP(J33,Condensadoras!A:H,7,0),"")</f>
        <v>Azotea - Detrás</v>
      </c>
      <c r="L33" s="33" t="str">
        <f aca="false">IFERROR(VLOOKUP(J33,Condensadoras!A:H,8,0),"")</f>
        <v>R-410A</v>
      </c>
      <c r="M33" s="34" t="s">
        <v>155</v>
      </c>
      <c r="N33" s="32"/>
      <c r="O33" s="32" t="s">
        <v>147</v>
      </c>
      <c r="P33" s="32"/>
      <c r="Q33" s="35"/>
      <c r="R33" s="35"/>
    </row>
    <row r="34" customFormat="false" ht="14.25" hidden="false" customHeight="false" outlineLevel="0" collapsed="false">
      <c r="A34" s="32" t="n">
        <v>42</v>
      </c>
      <c r="B34" s="32" t="n">
        <v>1</v>
      </c>
      <c r="C34" s="32" t="s">
        <v>143</v>
      </c>
      <c r="D34" s="32" t="s">
        <v>156</v>
      </c>
      <c r="E34" s="32" t="s">
        <v>49</v>
      </c>
      <c r="F34" s="32"/>
      <c r="G34" s="32"/>
      <c r="H34" s="32"/>
      <c r="I34" s="32"/>
      <c r="J34" s="32" t="s">
        <v>40</v>
      </c>
      <c r="K34" s="33" t="str">
        <f aca="false">IFERROR(VLOOKUP(J34,Condensadoras!A:H,7,0),"")</f>
        <v>Azotea - Detrás</v>
      </c>
      <c r="L34" s="33" t="str">
        <f aca="false">IFERROR(VLOOKUP(J34,Condensadoras!A:H,8,0),"")</f>
        <v>R-410A</v>
      </c>
      <c r="M34" s="34" t="s">
        <v>155</v>
      </c>
      <c r="N34" s="32"/>
      <c r="O34" s="32" t="s">
        <v>147</v>
      </c>
      <c r="P34" s="32"/>
      <c r="Q34" s="35"/>
      <c r="R34" s="35"/>
    </row>
    <row r="35" customFormat="false" ht="14.25" hidden="false" customHeight="false" outlineLevel="0" collapsed="false">
      <c r="A35" s="32" t="n">
        <v>43</v>
      </c>
      <c r="B35" s="32" t="n">
        <v>1</v>
      </c>
      <c r="C35" s="32" t="s">
        <v>143</v>
      </c>
      <c r="D35" s="32" t="s">
        <v>156</v>
      </c>
      <c r="E35" s="32" t="s">
        <v>50</v>
      </c>
      <c r="F35" s="32"/>
      <c r="G35" s="32"/>
      <c r="H35" s="32"/>
      <c r="I35" s="32"/>
      <c r="J35" s="32" t="s">
        <v>40</v>
      </c>
      <c r="K35" s="33" t="str">
        <f aca="false">IFERROR(VLOOKUP(J35,Condensadoras!A:H,7,0),"")</f>
        <v>Azotea - Detrás</v>
      </c>
      <c r="L35" s="33" t="str">
        <f aca="false">IFERROR(VLOOKUP(J35,Condensadoras!A:H,8,0),"")</f>
        <v>R-410A</v>
      </c>
      <c r="M35" s="34" t="s">
        <v>155</v>
      </c>
      <c r="N35" s="32"/>
      <c r="O35" s="32" t="s">
        <v>147</v>
      </c>
      <c r="P35" s="32"/>
      <c r="Q35" s="35"/>
      <c r="R35" s="35"/>
    </row>
    <row r="36" customFormat="false" ht="14.25" hidden="false" customHeight="false" outlineLevel="0" collapsed="false">
      <c r="A36" s="32" t="s">
        <v>157</v>
      </c>
      <c r="B36" s="32" t="n">
        <v>1</v>
      </c>
      <c r="C36" s="32" t="s">
        <v>143</v>
      </c>
      <c r="D36" s="32" t="s">
        <v>156</v>
      </c>
      <c r="E36" s="32" t="s">
        <v>101</v>
      </c>
      <c r="F36" s="32"/>
      <c r="G36" s="32"/>
      <c r="H36" s="32"/>
      <c r="I36" s="32"/>
      <c r="J36" s="32" t="s">
        <v>100</v>
      </c>
      <c r="K36" s="33" t="str">
        <f aca="false">IFERROR(VLOOKUP(J36,Condensadoras!A:H,7,0),"")</f>
        <v>Azotea - Frente</v>
      </c>
      <c r="L36" s="33" t="str">
        <f aca="false">IFERROR(VLOOKUP(J36,Condensadoras!A:H,8,0),"")</f>
        <v>R-410A</v>
      </c>
      <c r="M36" s="34" t="s">
        <v>155</v>
      </c>
      <c r="N36" s="32"/>
      <c r="O36" s="32" t="s">
        <v>147</v>
      </c>
      <c r="P36" s="32"/>
      <c r="Q36" s="35"/>
      <c r="R36" s="35"/>
    </row>
    <row r="37" customFormat="false" ht="14.25" hidden="false" customHeight="false" outlineLevel="0" collapsed="false">
      <c r="A37" s="32" t="s">
        <v>158</v>
      </c>
      <c r="B37" s="32" t="n">
        <v>1</v>
      </c>
      <c r="C37" s="32" t="s">
        <v>143</v>
      </c>
      <c r="D37" s="32" t="s">
        <v>156</v>
      </c>
      <c r="E37" s="32" t="s">
        <v>51</v>
      </c>
      <c r="F37" s="32"/>
      <c r="G37" s="32"/>
      <c r="H37" s="32"/>
      <c r="I37" s="32"/>
      <c r="J37" s="32" t="s">
        <v>102</v>
      </c>
      <c r="K37" s="33" t="str">
        <f aca="false">IFERROR(VLOOKUP(J37,Condensadoras!A:H,7,0),"")</f>
        <v>Azotea - Frente</v>
      </c>
      <c r="L37" s="33" t="str">
        <f aca="false">IFERROR(VLOOKUP(J37,Condensadoras!A:H,8,0),"")</f>
        <v>R-410A</v>
      </c>
      <c r="M37" s="34" t="s">
        <v>155</v>
      </c>
      <c r="N37" s="32"/>
      <c r="O37" s="32" t="s">
        <v>147</v>
      </c>
      <c r="P37" s="32"/>
      <c r="Q37" s="35"/>
      <c r="R37" s="35"/>
    </row>
    <row r="38" customFormat="false" ht="14.25" hidden="false" customHeight="false" outlineLevel="0" collapsed="false">
      <c r="A38" s="32" t="s">
        <v>159</v>
      </c>
      <c r="B38" s="32" t="n">
        <v>1</v>
      </c>
      <c r="C38" s="32" t="s">
        <v>143</v>
      </c>
      <c r="D38" s="32" t="s">
        <v>156</v>
      </c>
      <c r="E38" s="32" t="s">
        <v>104</v>
      </c>
      <c r="F38" s="32"/>
      <c r="G38" s="32"/>
      <c r="H38" s="32"/>
      <c r="I38" s="32"/>
      <c r="J38" s="32" t="s">
        <v>103</v>
      </c>
      <c r="K38" s="33" t="str">
        <f aca="false">IFERROR(VLOOKUP(J38,Condensadoras!A:H,7,0),"")</f>
        <v>Azotea - Frente</v>
      </c>
      <c r="L38" s="33" t="str">
        <f aca="false">IFERROR(VLOOKUP(J38,Condensadoras!A:H,8,0),"")</f>
        <v>R-410A</v>
      </c>
      <c r="M38" s="34" t="s">
        <v>155</v>
      </c>
      <c r="N38" s="32"/>
      <c r="O38" s="32" t="s">
        <v>147</v>
      </c>
      <c r="P38" s="32"/>
      <c r="Q38" s="35"/>
      <c r="R38" s="35"/>
    </row>
    <row r="39" customFormat="false" ht="14.25" hidden="false" customHeight="false" outlineLevel="0" collapsed="false">
      <c r="A39" s="32" t="s">
        <v>160</v>
      </c>
      <c r="B39" s="32" t="n">
        <v>1</v>
      </c>
      <c r="C39" s="32" t="s">
        <v>143</v>
      </c>
      <c r="D39" s="32" t="s">
        <v>156</v>
      </c>
      <c r="E39" s="32" t="s">
        <v>115</v>
      </c>
      <c r="F39" s="32"/>
      <c r="G39" s="32"/>
      <c r="H39" s="32"/>
      <c r="I39" s="32"/>
      <c r="J39" s="32" t="s">
        <v>109</v>
      </c>
      <c r="K39" s="33" t="str">
        <f aca="false">IFERROR(VLOOKUP(J39,Condensadoras!A:H,7,0),"")</f>
        <v>Azotea-Detrás</v>
      </c>
      <c r="L39" s="33" t="str">
        <f aca="false">IFERROR(VLOOKUP(J39,Condensadoras!A:H,8,0),"")</f>
        <v>R-410A</v>
      </c>
      <c r="M39" s="34" t="s">
        <v>155</v>
      </c>
      <c r="N39" s="32"/>
      <c r="O39" s="32" t="s">
        <v>147</v>
      </c>
      <c r="P39" s="32"/>
      <c r="Q39" s="35"/>
      <c r="R39" s="35"/>
    </row>
    <row r="40" customFormat="false" ht="14.25" hidden="false" customHeight="false" outlineLevel="0" collapsed="false">
      <c r="A40" s="32" t="s">
        <v>161</v>
      </c>
      <c r="B40" s="32" t="n">
        <v>1</v>
      </c>
      <c r="C40" s="32" t="s">
        <v>143</v>
      </c>
      <c r="D40" s="32" t="s">
        <v>156</v>
      </c>
      <c r="E40" s="32" t="s">
        <v>110</v>
      </c>
      <c r="F40" s="32"/>
      <c r="G40" s="32"/>
      <c r="H40" s="32"/>
      <c r="I40" s="32"/>
      <c r="J40" s="32" t="s">
        <v>109</v>
      </c>
      <c r="K40" s="33" t="str">
        <f aca="false">IFERROR(VLOOKUP(J40,Condensadoras!A:H,7,0),"")</f>
        <v>Azotea-Detrás</v>
      </c>
      <c r="L40" s="33" t="str">
        <f aca="false">IFERROR(VLOOKUP(J40,Condensadoras!A:H,8,0),"")</f>
        <v>R-410A</v>
      </c>
      <c r="M40" s="34" t="s">
        <v>155</v>
      </c>
      <c r="N40" s="32"/>
      <c r="O40" s="32" t="s">
        <v>147</v>
      </c>
      <c r="P40" s="32"/>
      <c r="Q40" s="35"/>
      <c r="R40" s="35"/>
    </row>
    <row r="41" customFormat="false" ht="14.25" hidden="false" customHeight="false" outlineLevel="0" collapsed="false">
      <c r="A41" s="36" t="n">
        <v>44</v>
      </c>
      <c r="B41" s="32" t="n">
        <v>1</v>
      </c>
      <c r="C41" s="32" t="s">
        <v>143</v>
      </c>
      <c r="D41" s="36" t="s">
        <v>156</v>
      </c>
      <c r="E41" s="36" t="s">
        <v>123</v>
      </c>
      <c r="F41" s="36" t="s">
        <v>152</v>
      </c>
      <c r="G41" s="36" t="s">
        <v>153</v>
      </c>
      <c r="H41" s="36" t="s">
        <v>154</v>
      </c>
      <c r="I41" s="36"/>
      <c r="J41" s="36" t="s">
        <v>121</v>
      </c>
      <c r="K41" s="33" t="str">
        <f aca="false">IFERROR(VLOOKUP(J41,Condensadoras!A:H,7,0),"")</f>
        <v>Azotea - Detrás</v>
      </c>
      <c r="L41" s="33" t="str">
        <f aca="false">IFERROR(VLOOKUP(J41,Condensadoras!A:H,8,0),"")</f>
        <v>R-410A</v>
      </c>
      <c r="M41" s="34" t="s">
        <v>155</v>
      </c>
      <c r="N41" s="32"/>
      <c r="O41" s="32" t="s">
        <v>147</v>
      </c>
      <c r="P41" s="32"/>
      <c r="Q41" s="35"/>
      <c r="R41" s="35"/>
    </row>
    <row r="42" customFormat="false" ht="14.25" hidden="false" customHeight="false" outlineLevel="0" collapsed="false">
      <c r="A42" s="36" t="n">
        <v>1</v>
      </c>
      <c r="B42" s="32" t="n">
        <v>1</v>
      </c>
      <c r="C42" s="32" t="s">
        <v>143</v>
      </c>
      <c r="D42" s="36" t="s">
        <v>162</v>
      </c>
      <c r="E42" s="36" t="s">
        <v>21</v>
      </c>
      <c r="F42" s="36" t="s">
        <v>153</v>
      </c>
      <c r="G42" s="36" t="s">
        <v>153</v>
      </c>
      <c r="H42" s="36" t="s">
        <v>163</v>
      </c>
      <c r="I42" s="36"/>
      <c r="J42" s="36" t="s">
        <v>20</v>
      </c>
      <c r="K42" s="33" t="str">
        <f aca="false">IFERROR(VLOOKUP(J42,Condensadoras!A:H,7,0),"")</f>
        <v>Azotea-Otra Porteria</v>
      </c>
      <c r="L42" s="33" t="str">
        <f aca="false">IFERROR(VLOOKUP(J42,Condensadoras!A:H,8,0),"")</f>
        <v>R-410A</v>
      </c>
      <c r="M42" s="34" t="s">
        <v>155</v>
      </c>
      <c r="N42" s="32"/>
      <c r="O42" s="32" t="s">
        <v>147</v>
      </c>
      <c r="P42" s="32"/>
      <c r="Q42" s="35"/>
      <c r="R42" s="35"/>
    </row>
    <row r="43" customFormat="false" ht="14.25" hidden="false" customHeight="false" outlineLevel="0" collapsed="false">
      <c r="A43" s="36" t="n">
        <v>2</v>
      </c>
      <c r="B43" s="32" t="n">
        <v>1</v>
      </c>
      <c r="C43" s="32" t="s">
        <v>143</v>
      </c>
      <c r="D43" s="36" t="s">
        <v>162</v>
      </c>
      <c r="E43" s="36" t="s">
        <v>22</v>
      </c>
      <c r="F43" s="36" t="s">
        <v>153</v>
      </c>
      <c r="G43" s="36" t="s">
        <v>153</v>
      </c>
      <c r="H43" s="36" t="s">
        <v>163</v>
      </c>
      <c r="I43" s="36"/>
      <c r="J43" s="36" t="s">
        <v>20</v>
      </c>
      <c r="K43" s="33" t="str">
        <f aca="false">IFERROR(VLOOKUP(J43,Condensadoras!A:H,7,0),"")</f>
        <v>Azotea-Otra Porteria</v>
      </c>
      <c r="L43" s="33" t="str">
        <f aca="false">IFERROR(VLOOKUP(J43,Condensadoras!A:H,8,0),"")</f>
        <v>R-410A</v>
      </c>
      <c r="M43" s="34" t="s">
        <v>155</v>
      </c>
      <c r="N43" s="32"/>
      <c r="O43" s="32" t="s">
        <v>147</v>
      </c>
      <c r="P43" s="32"/>
      <c r="Q43" s="35"/>
      <c r="R43" s="35"/>
    </row>
    <row r="44" customFormat="false" ht="14.25" hidden="false" customHeight="false" outlineLevel="0" collapsed="false">
      <c r="A44" s="36" t="n">
        <v>3</v>
      </c>
      <c r="B44" s="32" t="n">
        <v>1</v>
      </c>
      <c r="C44" s="32" t="s">
        <v>143</v>
      </c>
      <c r="D44" s="36" t="s">
        <v>162</v>
      </c>
      <c r="E44" s="36" t="s">
        <v>23</v>
      </c>
      <c r="F44" s="36" t="s">
        <v>153</v>
      </c>
      <c r="G44" s="36" t="s">
        <v>153</v>
      </c>
      <c r="H44" s="36" t="s">
        <v>163</v>
      </c>
      <c r="I44" s="36"/>
      <c r="J44" s="36" t="s">
        <v>20</v>
      </c>
      <c r="K44" s="33" t="str">
        <f aca="false">IFERROR(VLOOKUP(J44,Condensadoras!A:H,7,0),"")</f>
        <v>Azotea-Otra Porteria</v>
      </c>
      <c r="L44" s="33" t="str">
        <f aca="false">IFERROR(VLOOKUP(J44,Condensadoras!A:H,8,0),"")</f>
        <v>R-410A</v>
      </c>
      <c r="M44" s="34" t="s">
        <v>155</v>
      </c>
      <c r="N44" s="32"/>
      <c r="O44" s="32" t="s">
        <v>147</v>
      </c>
      <c r="P44" s="32"/>
      <c r="Q44" s="35"/>
      <c r="R44" s="35"/>
    </row>
    <row r="45" customFormat="false" ht="14.25" hidden="false" customHeight="false" outlineLevel="0" collapsed="false">
      <c r="A45" s="36" t="n">
        <v>4</v>
      </c>
      <c r="B45" s="32" t="n">
        <v>1</v>
      </c>
      <c r="C45" s="32" t="s">
        <v>143</v>
      </c>
      <c r="D45" s="36" t="s">
        <v>162</v>
      </c>
      <c r="E45" s="36" t="s">
        <v>24</v>
      </c>
      <c r="F45" s="36" t="s">
        <v>153</v>
      </c>
      <c r="G45" s="36" t="s">
        <v>153</v>
      </c>
      <c r="H45" s="36" t="s">
        <v>163</v>
      </c>
      <c r="I45" s="36"/>
      <c r="J45" s="36" t="s">
        <v>20</v>
      </c>
      <c r="K45" s="33" t="str">
        <f aca="false">IFERROR(VLOOKUP(J45,Condensadoras!A:H,7,0),"")</f>
        <v>Azotea-Otra Porteria</v>
      </c>
      <c r="L45" s="33" t="str">
        <f aca="false">IFERROR(VLOOKUP(J45,Condensadoras!A:H,8,0),"")</f>
        <v>R-410A</v>
      </c>
      <c r="M45" s="34" t="s">
        <v>145</v>
      </c>
      <c r="N45" s="32"/>
      <c r="O45" s="32" t="s">
        <v>147</v>
      </c>
      <c r="P45" s="32"/>
      <c r="Q45" s="35"/>
      <c r="R45" s="35"/>
    </row>
    <row r="46" customFormat="false" ht="14.25" hidden="false" customHeight="false" outlineLevel="0" collapsed="false">
      <c r="A46" s="36" t="n">
        <v>5</v>
      </c>
      <c r="B46" s="32" t="n">
        <v>1</v>
      </c>
      <c r="C46" s="32" t="s">
        <v>143</v>
      </c>
      <c r="D46" s="36" t="s">
        <v>162</v>
      </c>
      <c r="E46" s="36" t="s">
        <v>25</v>
      </c>
      <c r="F46" s="36" t="s">
        <v>153</v>
      </c>
      <c r="G46" s="36" t="s">
        <v>153</v>
      </c>
      <c r="H46" s="36" t="s">
        <v>163</v>
      </c>
      <c r="I46" s="36"/>
      <c r="J46" s="36" t="s">
        <v>20</v>
      </c>
      <c r="K46" s="33" t="str">
        <f aca="false">IFERROR(VLOOKUP(J46,Condensadoras!A:H,7,0),"")</f>
        <v>Azotea-Otra Porteria</v>
      </c>
      <c r="L46" s="33" t="str">
        <f aca="false">IFERROR(VLOOKUP(J46,Condensadoras!A:H,8,0),"")</f>
        <v>R-410A</v>
      </c>
      <c r="M46" s="34" t="s">
        <v>145</v>
      </c>
      <c r="N46" s="32"/>
      <c r="O46" s="32" t="s">
        <v>146</v>
      </c>
      <c r="P46" s="32"/>
      <c r="Q46" s="35"/>
      <c r="R46" s="35"/>
    </row>
    <row r="47" customFormat="false" ht="14.25" hidden="false" customHeight="false" outlineLevel="0" collapsed="false">
      <c r="A47" s="36" t="n">
        <v>6</v>
      </c>
      <c r="B47" s="32" t="n">
        <v>1</v>
      </c>
      <c r="C47" s="32" t="s">
        <v>143</v>
      </c>
      <c r="D47" s="36" t="s">
        <v>162</v>
      </c>
      <c r="E47" s="36" t="s">
        <v>26</v>
      </c>
      <c r="F47" s="36" t="s">
        <v>153</v>
      </c>
      <c r="G47" s="36" t="s">
        <v>153</v>
      </c>
      <c r="H47" s="36" t="s">
        <v>163</v>
      </c>
      <c r="I47" s="36"/>
      <c r="J47" s="36" t="s">
        <v>20</v>
      </c>
      <c r="K47" s="33" t="str">
        <f aca="false">IFERROR(VLOOKUP(J47,Condensadoras!A:H,7,0),"")</f>
        <v>Azotea-Otra Porteria</v>
      </c>
      <c r="L47" s="33" t="str">
        <f aca="false">IFERROR(VLOOKUP(J47,Condensadoras!A:H,8,0),"")</f>
        <v>R-410A</v>
      </c>
      <c r="M47" s="34" t="s">
        <v>155</v>
      </c>
      <c r="N47" s="32"/>
      <c r="O47" s="32" t="s">
        <v>146</v>
      </c>
      <c r="P47" s="32"/>
      <c r="Q47" s="35"/>
      <c r="R47" s="35"/>
    </row>
    <row r="48" customFormat="false" ht="14.25" hidden="false" customHeight="false" outlineLevel="0" collapsed="false">
      <c r="A48" s="36" t="n">
        <v>41</v>
      </c>
      <c r="B48" s="32" t="n">
        <v>1</v>
      </c>
      <c r="C48" s="32" t="s">
        <v>143</v>
      </c>
      <c r="D48" s="36" t="s">
        <v>162</v>
      </c>
      <c r="E48" s="36" t="s">
        <v>27</v>
      </c>
      <c r="F48" s="36" t="s">
        <v>153</v>
      </c>
      <c r="G48" s="36" t="s">
        <v>153</v>
      </c>
      <c r="H48" s="36" t="s">
        <v>163</v>
      </c>
      <c r="I48" s="36"/>
      <c r="J48" s="36" t="s">
        <v>20</v>
      </c>
      <c r="K48" s="33" t="str">
        <f aca="false">IFERROR(VLOOKUP(J48,Condensadoras!A:H,7,0),"")</f>
        <v>Azotea-Otra Porteria</v>
      </c>
      <c r="L48" s="33" t="str">
        <f aca="false">IFERROR(VLOOKUP(J48,Condensadoras!A:H,8,0),"")</f>
        <v>R-410A</v>
      </c>
      <c r="M48" s="34" t="n">
        <v>40909</v>
      </c>
      <c r="N48" s="32"/>
      <c r="O48" s="32"/>
      <c r="P48" s="32"/>
      <c r="Q48" s="35"/>
      <c r="R48" s="35"/>
    </row>
    <row r="49" customFormat="false" ht="14.25" hidden="false" customHeight="false" outlineLevel="0" collapsed="false">
      <c r="A49" s="36" t="n">
        <v>42</v>
      </c>
      <c r="B49" s="32" t="n">
        <v>1</v>
      </c>
      <c r="C49" s="32" t="s">
        <v>143</v>
      </c>
      <c r="D49" s="36" t="s">
        <v>162</v>
      </c>
      <c r="E49" s="36" t="s">
        <v>28</v>
      </c>
      <c r="F49" s="36" t="s">
        <v>153</v>
      </c>
      <c r="G49" s="36" t="s">
        <v>153</v>
      </c>
      <c r="H49" s="36" t="s">
        <v>163</v>
      </c>
      <c r="I49" s="36"/>
      <c r="J49" s="36" t="s">
        <v>20</v>
      </c>
      <c r="K49" s="33" t="str">
        <f aca="false">IFERROR(VLOOKUP(J49,Condensadoras!A:H,7,0),"")</f>
        <v>Azotea-Otra Porteria</v>
      </c>
      <c r="L49" s="33" t="str">
        <f aca="false">IFERROR(VLOOKUP(J49,Condensadoras!A:H,8,0),"")</f>
        <v>R-410A</v>
      </c>
      <c r="M49" s="34" t="n">
        <v>40909</v>
      </c>
      <c r="N49" s="32"/>
      <c r="O49" s="32"/>
      <c r="P49" s="32"/>
      <c r="Q49" s="35"/>
      <c r="R49" s="35"/>
    </row>
    <row r="50" customFormat="false" ht="14.25" hidden="false" customHeight="false" outlineLevel="0" collapsed="false">
      <c r="A50" s="32" t="n">
        <v>17</v>
      </c>
      <c r="B50" s="32" t="n">
        <v>1</v>
      </c>
      <c r="C50" s="32" t="s">
        <v>143</v>
      </c>
      <c r="D50" s="32" t="s">
        <v>162</v>
      </c>
      <c r="E50" s="32" t="s">
        <v>37</v>
      </c>
      <c r="F50" s="32"/>
      <c r="G50" s="32"/>
      <c r="H50" s="32"/>
      <c r="I50" s="32"/>
      <c r="J50" s="32" t="s">
        <v>29</v>
      </c>
      <c r="K50" s="33" t="str">
        <f aca="false">IFERROR(VLOOKUP(J50,Condensadoras!A:H,7,0),"")</f>
        <v>Azotea - Detrás</v>
      </c>
      <c r="L50" s="33" t="str">
        <f aca="false">IFERROR(VLOOKUP(J50,Condensadoras!A:H,8,0),"")</f>
        <v>R-410A</v>
      </c>
      <c r="M50" s="34" t="n">
        <v>40909</v>
      </c>
      <c r="N50" s="32"/>
      <c r="O50" s="32"/>
      <c r="P50" s="32"/>
      <c r="Q50" s="35"/>
      <c r="R50" s="35"/>
    </row>
    <row r="51" customFormat="false" ht="14.25" hidden="false" customHeight="false" outlineLevel="0" collapsed="false">
      <c r="A51" s="32" t="n">
        <v>18</v>
      </c>
      <c r="B51" s="32" t="n">
        <v>1</v>
      </c>
      <c r="C51" s="32" t="s">
        <v>143</v>
      </c>
      <c r="D51" s="32" t="s">
        <v>162</v>
      </c>
      <c r="E51" s="32" t="s">
        <v>38</v>
      </c>
      <c r="F51" s="32"/>
      <c r="G51" s="32"/>
      <c r="H51" s="32"/>
      <c r="I51" s="32"/>
      <c r="J51" s="32" t="s">
        <v>29</v>
      </c>
      <c r="K51" s="33" t="str">
        <f aca="false">IFERROR(VLOOKUP(J51,Condensadoras!A:H,7,0),"")</f>
        <v>Azotea - Detrás</v>
      </c>
      <c r="L51" s="33" t="str">
        <f aca="false">IFERROR(VLOOKUP(J51,Condensadoras!A:H,8,0),"")</f>
        <v>R-410A</v>
      </c>
      <c r="M51" s="34" t="n">
        <v>40909</v>
      </c>
      <c r="N51" s="32"/>
      <c r="O51" s="32"/>
      <c r="P51" s="32"/>
      <c r="Q51" s="35"/>
      <c r="R51" s="35"/>
    </row>
    <row r="52" customFormat="false" ht="14.25" hidden="false" customHeight="false" outlineLevel="0" collapsed="false">
      <c r="A52" s="32" t="n">
        <v>19</v>
      </c>
      <c r="B52" s="32" t="n">
        <v>1</v>
      </c>
      <c r="C52" s="32" t="s">
        <v>143</v>
      </c>
      <c r="D52" s="32" t="s">
        <v>162</v>
      </c>
      <c r="E52" s="32" t="s">
        <v>30</v>
      </c>
      <c r="F52" s="32"/>
      <c r="G52" s="32"/>
      <c r="H52" s="32"/>
      <c r="I52" s="32"/>
      <c r="J52" s="32" t="s">
        <v>29</v>
      </c>
      <c r="K52" s="33" t="str">
        <f aca="false">IFERROR(VLOOKUP(J52,Condensadoras!A:H,7,0),"")</f>
        <v>Azotea - Detrás</v>
      </c>
      <c r="L52" s="33" t="str">
        <f aca="false">IFERROR(VLOOKUP(J52,Condensadoras!A:H,8,0),"")</f>
        <v>R-410A</v>
      </c>
      <c r="M52" s="34" t="n">
        <v>40909</v>
      </c>
      <c r="N52" s="32"/>
      <c r="O52" s="32"/>
      <c r="P52" s="32"/>
      <c r="Q52" s="35"/>
      <c r="R52" s="35"/>
    </row>
    <row r="53" customFormat="false" ht="14.25" hidden="false" customHeight="false" outlineLevel="0" collapsed="false">
      <c r="A53" s="32" t="n">
        <v>20</v>
      </c>
      <c r="B53" s="32" t="n">
        <v>1</v>
      </c>
      <c r="C53" s="32" t="s">
        <v>143</v>
      </c>
      <c r="D53" s="32" t="s">
        <v>162</v>
      </c>
      <c r="E53" s="32" t="s">
        <v>31</v>
      </c>
      <c r="F53" s="32"/>
      <c r="G53" s="32"/>
      <c r="H53" s="32"/>
      <c r="I53" s="32"/>
      <c r="J53" s="32" t="s">
        <v>29</v>
      </c>
      <c r="K53" s="33" t="str">
        <f aca="false">IFERROR(VLOOKUP(J53,Condensadoras!A:H,7,0),"")</f>
        <v>Azotea - Detrás</v>
      </c>
      <c r="L53" s="33" t="str">
        <f aca="false">IFERROR(VLOOKUP(J53,Condensadoras!A:H,8,0),"")</f>
        <v>R-410A</v>
      </c>
      <c r="M53" s="34" t="s">
        <v>155</v>
      </c>
      <c r="N53" s="32"/>
      <c r="O53" s="32" t="s">
        <v>147</v>
      </c>
      <c r="P53" s="32"/>
      <c r="Q53" s="35"/>
      <c r="R53" s="35"/>
    </row>
    <row r="54" customFormat="false" ht="14.25" hidden="false" customHeight="false" outlineLevel="0" collapsed="false">
      <c r="A54" s="32" t="n">
        <v>21</v>
      </c>
      <c r="B54" s="32" t="n">
        <v>1</v>
      </c>
      <c r="C54" s="32" t="s">
        <v>143</v>
      </c>
      <c r="D54" s="32" t="s">
        <v>162</v>
      </c>
      <c r="E54" s="32" t="s">
        <v>32</v>
      </c>
      <c r="F54" s="32"/>
      <c r="G54" s="32"/>
      <c r="H54" s="32"/>
      <c r="I54" s="32"/>
      <c r="J54" s="32" t="s">
        <v>29</v>
      </c>
      <c r="K54" s="33" t="str">
        <f aca="false">IFERROR(VLOOKUP(J54,Condensadoras!A:H,7,0),"")</f>
        <v>Azotea - Detrás</v>
      </c>
      <c r="L54" s="33" t="str">
        <f aca="false">IFERROR(VLOOKUP(J54,Condensadoras!A:H,8,0),"")</f>
        <v>R-410A</v>
      </c>
      <c r="M54" s="34" t="n">
        <v>40909</v>
      </c>
      <c r="N54" s="32"/>
      <c r="O54" s="32"/>
      <c r="P54" s="32"/>
      <c r="Q54" s="35"/>
      <c r="R54" s="35"/>
    </row>
    <row r="55" customFormat="false" ht="14.25" hidden="false" customHeight="false" outlineLevel="0" collapsed="false">
      <c r="A55" s="32" t="n">
        <v>22</v>
      </c>
      <c r="B55" s="32" t="n">
        <v>1</v>
      </c>
      <c r="C55" s="32" t="s">
        <v>143</v>
      </c>
      <c r="D55" s="32" t="s">
        <v>162</v>
      </c>
      <c r="E55" s="32" t="s">
        <v>33</v>
      </c>
      <c r="F55" s="32"/>
      <c r="G55" s="32"/>
      <c r="H55" s="32"/>
      <c r="I55" s="32"/>
      <c r="J55" s="32" t="s">
        <v>29</v>
      </c>
      <c r="K55" s="33" t="str">
        <f aca="false">IFERROR(VLOOKUP(J55,Condensadoras!A:H,7,0),"")</f>
        <v>Azotea - Detrás</v>
      </c>
      <c r="L55" s="33" t="str">
        <f aca="false">IFERROR(VLOOKUP(J55,Condensadoras!A:H,8,0),"")</f>
        <v>R-410A</v>
      </c>
      <c r="M55" s="34" t="s">
        <v>155</v>
      </c>
      <c r="N55" s="32"/>
      <c r="O55" s="32" t="s">
        <v>147</v>
      </c>
      <c r="P55" s="32"/>
      <c r="Q55" s="35"/>
      <c r="R55" s="35"/>
    </row>
    <row r="56" customFormat="false" ht="14.25" hidden="false" customHeight="false" outlineLevel="0" collapsed="false">
      <c r="A56" s="32" t="n">
        <v>23</v>
      </c>
      <c r="B56" s="32" t="n">
        <v>1</v>
      </c>
      <c r="C56" s="32" t="s">
        <v>143</v>
      </c>
      <c r="D56" s="32" t="s">
        <v>162</v>
      </c>
      <c r="E56" s="32" t="s">
        <v>34</v>
      </c>
      <c r="F56" s="32"/>
      <c r="G56" s="32"/>
      <c r="H56" s="32"/>
      <c r="I56" s="32"/>
      <c r="J56" s="32" t="s">
        <v>29</v>
      </c>
      <c r="K56" s="33" t="str">
        <f aca="false">IFERROR(VLOOKUP(J56,Condensadoras!A:H,7,0),"")</f>
        <v>Azotea - Detrás</v>
      </c>
      <c r="L56" s="33" t="str">
        <f aca="false">IFERROR(VLOOKUP(J56,Condensadoras!A:H,8,0),"")</f>
        <v>R-410A</v>
      </c>
      <c r="M56" s="34" t="s">
        <v>155</v>
      </c>
      <c r="N56" s="32"/>
      <c r="O56" s="32" t="s">
        <v>147</v>
      </c>
      <c r="P56" s="32"/>
      <c r="Q56" s="35"/>
      <c r="R56" s="35"/>
    </row>
    <row r="57" customFormat="false" ht="14.25" hidden="false" customHeight="false" outlineLevel="0" collapsed="false">
      <c r="A57" s="32" t="n">
        <v>24</v>
      </c>
      <c r="B57" s="32" t="n">
        <v>1</v>
      </c>
      <c r="C57" s="32" t="s">
        <v>143</v>
      </c>
      <c r="D57" s="32" t="s">
        <v>162</v>
      </c>
      <c r="E57" s="32" t="s">
        <v>39</v>
      </c>
      <c r="F57" s="32"/>
      <c r="G57" s="32"/>
      <c r="H57" s="32"/>
      <c r="I57" s="32"/>
      <c r="J57" s="32" t="s">
        <v>29</v>
      </c>
      <c r="K57" s="33" t="str">
        <f aca="false">IFERROR(VLOOKUP(J57,Condensadoras!A:H,7,0),"")</f>
        <v>Azotea - Detrás</v>
      </c>
      <c r="L57" s="33" t="str">
        <f aca="false">IFERROR(VLOOKUP(J57,Condensadoras!A:H,8,0),"")</f>
        <v>R-410A</v>
      </c>
      <c r="M57" s="34" t="s">
        <v>155</v>
      </c>
      <c r="N57" s="32"/>
      <c r="O57" s="32" t="s">
        <v>149</v>
      </c>
      <c r="P57" s="32"/>
      <c r="Q57" s="35"/>
      <c r="R57" s="35"/>
    </row>
    <row r="58" customFormat="false" ht="14.25" hidden="false" customHeight="false" outlineLevel="0" collapsed="false">
      <c r="A58" s="32" t="n">
        <v>25</v>
      </c>
      <c r="B58" s="32" t="n">
        <v>1</v>
      </c>
      <c r="C58" s="32" t="s">
        <v>143</v>
      </c>
      <c r="D58" s="32" t="s">
        <v>162</v>
      </c>
      <c r="E58" s="32" t="s">
        <v>35</v>
      </c>
      <c r="F58" s="32"/>
      <c r="G58" s="32"/>
      <c r="H58" s="32"/>
      <c r="I58" s="32"/>
      <c r="J58" s="32" t="s">
        <v>29</v>
      </c>
      <c r="K58" s="33" t="str">
        <f aca="false">IFERROR(VLOOKUP(J58,Condensadoras!A:H,7,0),"")</f>
        <v>Azotea - Detrás</v>
      </c>
      <c r="L58" s="33" t="str">
        <f aca="false">IFERROR(VLOOKUP(J58,Condensadoras!A:H,8,0),"")</f>
        <v>R-410A</v>
      </c>
      <c r="M58" s="34" t="s">
        <v>155</v>
      </c>
      <c r="N58" s="32"/>
      <c r="O58" s="32" t="s">
        <v>149</v>
      </c>
      <c r="P58" s="32"/>
      <c r="Q58" s="35"/>
      <c r="R58" s="35"/>
    </row>
    <row r="59" customFormat="false" ht="14.25" hidden="false" customHeight="false" outlineLevel="0" collapsed="false">
      <c r="A59" s="32" t="n">
        <v>26</v>
      </c>
      <c r="B59" s="32" t="n">
        <v>1</v>
      </c>
      <c r="C59" s="32" t="s">
        <v>143</v>
      </c>
      <c r="D59" s="32" t="s">
        <v>162</v>
      </c>
      <c r="E59" s="32" t="s">
        <v>36</v>
      </c>
      <c r="F59" s="32"/>
      <c r="G59" s="32"/>
      <c r="H59" s="32"/>
      <c r="I59" s="32"/>
      <c r="J59" s="32" t="s">
        <v>29</v>
      </c>
      <c r="K59" s="33" t="str">
        <f aca="false">IFERROR(VLOOKUP(J59,Condensadoras!A:H,7,0),"")</f>
        <v>Azotea - Detrás</v>
      </c>
      <c r="L59" s="33" t="str">
        <f aca="false">IFERROR(VLOOKUP(J59,Condensadoras!A:H,8,0),"")</f>
        <v>R-410A</v>
      </c>
      <c r="M59" s="34" t="s">
        <v>155</v>
      </c>
      <c r="N59" s="32"/>
      <c r="O59" s="32" t="s">
        <v>146</v>
      </c>
      <c r="P59" s="32"/>
      <c r="Q59" s="35"/>
      <c r="R59" s="35"/>
    </row>
    <row r="60" customFormat="false" ht="14.25" hidden="false" customHeight="false" outlineLevel="0" collapsed="false">
      <c r="A60" s="32" t="s">
        <v>164</v>
      </c>
      <c r="B60" s="32" t="n">
        <v>1</v>
      </c>
      <c r="C60" s="32" t="s">
        <v>143</v>
      </c>
      <c r="D60" s="32" t="s">
        <v>162</v>
      </c>
      <c r="E60" s="32" t="s">
        <v>82</v>
      </c>
      <c r="F60" s="32"/>
      <c r="G60" s="32"/>
      <c r="H60" s="32"/>
      <c r="I60" s="32"/>
      <c r="J60" s="32" t="s">
        <v>81</v>
      </c>
      <c r="K60" s="33" t="str">
        <f aca="false">IFERROR(VLOOKUP(J60,Condensadoras!A:H,7,0),"")</f>
        <v>Azotea - Detrás</v>
      </c>
      <c r="L60" s="33" t="str">
        <f aca="false">IFERROR(VLOOKUP(J60,Condensadoras!A:H,8,0),"")</f>
        <v>R-410A</v>
      </c>
      <c r="M60" s="34" t="s">
        <v>155</v>
      </c>
      <c r="N60" s="32"/>
      <c r="O60" s="32" t="s">
        <v>147</v>
      </c>
      <c r="P60" s="32"/>
      <c r="Q60" s="35"/>
      <c r="R60" s="35"/>
    </row>
    <row r="61" customFormat="false" ht="14.25" hidden="false" customHeight="false" outlineLevel="0" collapsed="false">
      <c r="A61" s="32" t="n">
        <v>39</v>
      </c>
      <c r="B61" s="32" t="n">
        <v>1</v>
      </c>
      <c r="C61" s="32" t="s">
        <v>143</v>
      </c>
      <c r="D61" s="32" t="s">
        <v>162</v>
      </c>
      <c r="E61" s="32" t="s">
        <v>93</v>
      </c>
      <c r="F61" s="32"/>
      <c r="G61" s="32"/>
      <c r="H61" s="32"/>
      <c r="I61" s="32"/>
      <c r="J61" s="32" t="s">
        <v>92</v>
      </c>
      <c r="K61" s="33" t="str">
        <f aca="false">IFERROR(VLOOKUP(J61,Condensadoras!A:H,7,0),"")</f>
        <v>Azotea - Frente</v>
      </c>
      <c r="L61" s="33" t="str">
        <f aca="false">IFERROR(VLOOKUP(J61,Condensadoras!A:H,8,0),"")</f>
        <v>R-32</v>
      </c>
      <c r="M61" s="34" t="n">
        <v>40909</v>
      </c>
      <c r="N61" s="32"/>
      <c r="O61" s="32"/>
      <c r="P61" s="32"/>
      <c r="Q61" s="35"/>
      <c r="R61" s="35"/>
    </row>
    <row r="62" customFormat="false" ht="14.25" hidden="false" customHeight="false" outlineLevel="0" collapsed="false">
      <c r="A62" s="32" t="s">
        <v>165</v>
      </c>
      <c r="B62" s="32" t="n">
        <v>1</v>
      </c>
      <c r="C62" s="32" t="s">
        <v>143</v>
      </c>
      <c r="D62" s="32" t="s">
        <v>162</v>
      </c>
      <c r="E62" s="32" t="s">
        <v>95</v>
      </c>
      <c r="F62" s="32"/>
      <c r="G62" s="32"/>
      <c r="H62" s="32"/>
      <c r="I62" s="32"/>
      <c r="J62" s="32" t="s">
        <v>94</v>
      </c>
      <c r="K62" s="33" t="str">
        <f aca="false">IFERROR(VLOOKUP(J62,Condensadoras!A:H,7,0),"")</f>
        <v>Azotea - Frente</v>
      </c>
      <c r="L62" s="33" t="str">
        <f aca="false">IFERROR(VLOOKUP(J62,Condensadoras!A:H,8,0),"")</f>
        <v>R-32</v>
      </c>
      <c r="M62" s="34" t="s">
        <v>155</v>
      </c>
      <c r="N62" s="32"/>
      <c r="O62" s="32" t="s">
        <v>147</v>
      </c>
      <c r="P62" s="32"/>
      <c r="Q62" s="35"/>
      <c r="R62" s="35"/>
    </row>
    <row r="63" customFormat="false" ht="14.25" hidden="false" customHeight="false" outlineLevel="0" collapsed="false">
      <c r="A63" s="32" t="s">
        <v>166</v>
      </c>
      <c r="B63" s="32" t="n">
        <v>1</v>
      </c>
      <c r="C63" s="32" t="s">
        <v>143</v>
      </c>
      <c r="D63" s="32" t="s">
        <v>162</v>
      </c>
      <c r="E63" s="32" t="s">
        <v>99</v>
      </c>
      <c r="F63" s="32"/>
      <c r="G63" s="32"/>
      <c r="H63" s="32"/>
      <c r="I63" s="32"/>
      <c r="J63" s="32" t="s">
        <v>98</v>
      </c>
      <c r="K63" s="33" t="str">
        <f aca="false">IFERROR(VLOOKUP(J63,Condensadoras!A:H,7,0),"")</f>
        <v>Azotea - Frente</v>
      </c>
      <c r="L63" s="33" t="str">
        <f aca="false">IFERROR(VLOOKUP(J63,Condensadoras!A:H,8,0),"")</f>
        <v>R-32</v>
      </c>
      <c r="M63" s="34" t="s">
        <v>155</v>
      </c>
      <c r="N63" s="32"/>
      <c r="O63" s="32" t="s">
        <v>147</v>
      </c>
      <c r="P63" s="32"/>
      <c r="Q63" s="35"/>
      <c r="R63" s="35"/>
    </row>
    <row r="64" customFormat="false" ht="14.25" hidden="false" customHeight="false" outlineLevel="0" collapsed="false">
      <c r="A64" s="32" t="n">
        <v>27</v>
      </c>
      <c r="B64" s="32" t="n">
        <v>1</v>
      </c>
      <c r="C64" s="32" t="s">
        <v>143</v>
      </c>
      <c r="D64" s="32" t="s">
        <v>162</v>
      </c>
      <c r="E64" s="32" t="s">
        <v>117</v>
      </c>
      <c r="F64" s="32"/>
      <c r="G64" s="32"/>
      <c r="H64" s="32"/>
      <c r="I64" s="32"/>
      <c r="J64" s="32" t="s">
        <v>116</v>
      </c>
      <c r="K64" s="33" t="str">
        <f aca="false">IFERROR(VLOOKUP(J64,Condensadoras!A:H,7,0),"")</f>
        <v>Azotea - Detrás</v>
      </c>
      <c r="L64" s="33" t="str">
        <f aca="false">IFERROR(VLOOKUP(J64,Condensadoras!A:H,8,0),"")</f>
        <v>R-410A</v>
      </c>
      <c r="M64" s="34" t="s">
        <v>155</v>
      </c>
      <c r="N64" s="32"/>
      <c r="O64" s="32" t="s">
        <v>146</v>
      </c>
      <c r="P64" s="32"/>
      <c r="Q64" s="35"/>
      <c r="R64" s="35"/>
    </row>
    <row r="65" customFormat="false" ht="14.25" hidden="false" customHeight="false" outlineLevel="0" collapsed="false">
      <c r="A65" s="32" t="n">
        <v>28</v>
      </c>
      <c r="B65" s="32" t="n">
        <v>1</v>
      </c>
      <c r="C65" s="32" t="s">
        <v>143</v>
      </c>
      <c r="D65" s="32" t="s">
        <v>162</v>
      </c>
      <c r="E65" s="32" t="s">
        <v>118</v>
      </c>
      <c r="F65" s="32"/>
      <c r="G65" s="32"/>
      <c r="H65" s="32"/>
      <c r="I65" s="32"/>
      <c r="J65" s="32" t="s">
        <v>116</v>
      </c>
      <c r="K65" s="33" t="str">
        <f aca="false">IFERROR(VLOOKUP(J65,Condensadoras!A:H,7,0),"")</f>
        <v>Azotea - Detrás</v>
      </c>
      <c r="L65" s="33" t="str">
        <f aca="false">IFERROR(VLOOKUP(J65,Condensadoras!A:H,8,0),"")</f>
        <v>R-410A</v>
      </c>
      <c r="M65" s="34" t="s">
        <v>155</v>
      </c>
      <c r="N65" s="32"/>
      <c r="O65" s="32" t="s">
        <v>146</v>
      </c>
      <c r="P65" s="32"/>
      <c r="Q65" s="35"/>
      <c r="R65" s="35"/>
    </row>
    <row r="66" customFormat="false" ht="25.5" hidden="false" customHeight="true" outlineLevel="0" collapsed="false">
      <c r="A66" s="32" t="n">
        <v>29</v>
      </c>
      <c r="B66" s="32" t="n">
        <v>1</v>
      </c>
      <c r="C66" s="32" t="s">
        <v>143</v>
      </c>
      <c r="D66" s="32" t="s">
        <v>162</v>
      </c>
      <c r="E66" s="32" t="s">
        <v>119</v>
      </c>
      <c r="F66" s="32"/>
      <c r="G66" s="32"/>
      <c r="H66" s="32"/>
      <c r="I66" s="32"/>
      <c r="J66" s="32" t="s">
        <v>116</v>
      </c>
      <c r="K66" s="33" t="str">
        <f aca="false">IFERROR(VLOOKUP(J66,Condensadoras!A:H,7,0),"")</f>
        <v>Azotea - Detrás</v>
      </c>
      <c r="L66" s="33" t="str">
        <f aca="false">IFERROR(VLOOKUP(J66,Condensadoras!A:H,8,0),"")</f>
        <v>R-410A</v>
      </c>
      <c r="M66" s="34" t="s">
        <v>155</v>
      </c>
      <c r="N66" s="32"/>
      <c r="O66" s="32" t="s">
        <v>147</v>
      </c>
      <c r="P66" s="30"/>
      <c r="Q66" s="38"/>
      <c r="R66" s="38"/>
    </row>
    <row r="67" customFormat="false" ht="25.5" hidden="false" customHeight="true" outlineLevel="0" collapsed="false">
      <c r="A67" s="36"/>
      <c r="B67" s="32" t="n">
        <v>1</v>
      </c>
      <c r="C67" s="32" t="s">
        <v>143</v>
      </c>
      <c r="D67" s="36" t="s">
        <v>162</v>
      </c>
      <c r="E67" s="36" t="s">
        <v>120</v>
      </c>
      <c r="F67" s="36"/>
      <c r="G67" s="36"/>
      <c r="H67" s="36"/>
      <c r="I67" s="36"/>
      <c r="J67" s="36" t="s">
        <v>116</v>
      </c>
      <c r="K67" s="33" t="str">
        <f aca="false">IFERROR(VLOOKUP(J67,Condensadoras!A:H,7,0),"")</f>
        <v>Azotea - Detrás</v>
      </c>
      <c r="L67" s="33" t="str">
        <f aca="false">IFERROR(VLOOKUP(J67,Condensadoras!A:H,8,0),"")</f>
        <v>R-410A</v>
      </c>
      <c r="M67" s="34" t="s">
        <v>155</v>
      </c>
      <c r="N67" s="32"/>
      <c r="O67" s="32" t="s">
        <v>147</v>
      </c>
      <c r="P67" s="30"/>
      <c r="Q67" s="38"/>
      <c r="R67" s="38"/>
    </row>
    <row r="68" customFormat="false" ht="14.25" hidden="false" customHeight="false" outlineLevel="0" collapsed="false">
      <c r="A68" s="36"/>
      <c r="B68" s="32" t="n">
        <v>1</v>
      </c>
      <c r="C68" s="32" t="s">
        <v>143</v>
      </c>
      <c r="D68" s="36" t="s">
        <v>162</v>
      </c>
      <c r="E68" s="36" t="s">
        <v>120</v>
      </c>
      <c r="F68" s="36"/>
      <c r="G68" s="36"/>
      <c r="H68" s="36"/>
      <c r="I68" s="36"/>
      <c r="J68" s="36" t="s">
        <v>116</v>
      </c>
      <c r="K68" s="33" t="str">
        <f aca="false">IFERROR(VLOOKUP(J68,Condensadoras!A:H,7,0),"")</f>
        <v>Azotea - Detrás</v>
      </c>
      <c r="L68" s="33" t="str">
        <f aca="false">IFERROR(VLOOKUP(J68,Condensadoras!A:H,8,0),"")</f>
        <v>R-410A</v>
      </c>
      <c r="M68" s="34" t="n">
        <v>40909</v>
      </c>
      <c r="N68" s="32"/>
      <c r="O68" s="32"/>
      <c r="P68" s="32"/>
      <c r="Q68" s="35"/>
      <c r="R68" s="35"/>
    </row>
    <row r="69" customFormat="false" ht="14.25" hidden="false" customHeight="false" outlineLevel="0" collapsed="false">
      <c r="A69" s="36"/>
      <c r="B69" s="32" t="n">
        <v>1</v>
      </c>
      <c r="C69" s="32" t="s">
        <v>143</v>
      </c>
      <c r="D69" s="36" t="s">
        <v>162</v>
      </c>
      <c r="E69" s="36" t="s">
        <v>120</v>
      </c>
      <c r="F69" s="36"/>
      <c r="G69" s="36"/>
      <c r="H69" s="36"/>
      <c r="I69" s="36"/>
      <c r="J69" s="36" t="s">
        <v>116</v>
      </c>
      <c r="K69" s="33" t="str">
        <f aca="false">IFERROR(VLOOKUP(J69,Condensadoras!A:H,7,0),"")</f>
        <v>Azotea - Detrás</v>
      </c>
      <c r="L69" s="33" t="str">
        <f aca="false">IFERROR(VLOOKUP(J69,Condensadoras!A:H,8,0),"")</f>
        <v>R-410A</v>
      </c>
      <c r="M69" s="34" t="n">
        <v>40909</v>
      </c>
      <c r="N69" s="32"/>
      <c r="O69" s="32"/>
      <c r="P69" s="32"/>
      <c r="Q69" s="35"/>
      <c r="R69" s="35"/>
    </row>
    <row r="70" customFormat="false" ht="14.25" hidden="false" customHeight="false" outlineLevel="0" collapsed="false">
      <c r="A70" s="32" t="n">
        <v>3</v>
      </c>
      <c r="B70" s="32" t="n">
        <v>1</v>
      </c>
      <c r="C70" s="32" t="s">
        <v>143</v>
      </c>
      <c r="D70" s="32" t="s">
        <v>167</v>
      </c>
      <c r="E70" s="32" t="s">
        <v>9</v>
      </c>
      <c r="F70" s="32"/>
      <c r="G70" s="32"/>
      <c r="H70" s="32"/>
      <c r="I70" s="32"/>
      <c r="J70" s="32" t="s">
        <v>8</v>
      </c>
      <c r="K70" s="33" t="str">
        <f aca="false">IFERROR(VLOOKUP(J70,Condensadoras!A:H,7,0),"")</f>
        <v>Azotea - Detrás</v>
      </c>
      <c r="L70" s="33" t="str">
        <f aca="false">IFERROR(VLOOKUP(J70,Condensadoras!A:H,8,0),"")</f>
        <v>R-410A</v>
      </c>
      <c r="M70" s="34" t="n">
        <v>40909</v>
      </c>
      <c r="N70" s="32"/>
      <c r="O70" s="32"/>
      <c r="P70" s="32"/>
      <c r="Q70" s="35"/>
      <c r="R70" s="35"/>
    </row>
    <row r="71" customFormat="false" ht="14.25" hidden="false" customHeight="false" outlineLevel="0" collapsed="false">
      <c r="A71" s="32" t="n">
        <v>4</v>
      </c>
      <c r="B71" s="32" t="n">
        <v>1</v>
      </c>
      <c r="C71" s="32" t="s">
        <v>143</v>
      </c>
      <c r="D71" s="32" t="s">
        <v>167</v>
      </c>
      <c r="E71" s="32" t="s">
        <v>9</v>
      </c>
      <c r="F71" s="32"/>
      <c r="G71" s="32"/>
      <c r="H71" s="32"/>
      <c r="I71" s="32"/>
      <c r="J71" s="32" t="s">
        <v>8</v>
      </c>
      <c r="K71" s="33" t="str">
        <f aca="false">IFERROR(VLOOKUP(J71,Condensadoras!A:H,7,0),"")</f>
        <v>Azotea - Detrás</v>
      </c>
      <c r="L71" s="33" t="str">
        <f aca="false">IFERROR(VLOOKUP(J71,Condensadoras!A:H,8,0),"")</f>
        <v>R-410A</v>
      </c>
      <c r="M71" s="34" t="n">
        <v>40909</v>
      </c>
      <c r="N71" s="32"/>
      <c r="O71" s="32"/>
      <c r="P71" s="32"/>
      <c r="Q71" s="35"/>
      <c r="R71" s="35"/>
    </row>
    <row r="72" customFormat="false" ht="14.25" hidden="false" customHeight="false" outlineLevel="0" collapsed="false">
      <c r="A72" s="32" t="n">
        <v>5</v>
      </c>
      <c r="B72" s="32" t="n">
        <v>1</v>
      </c>
      <c r="C72" s="32" t="s">
        <v>143</v>
      </c>
      <c r="D72" s="32" t="s">
        <v>167</v>
      </c>
      <c r="E72" s="32" t="s">
        <v>9</v>
      </c>
      <c r="F72" s="32"/>
      <c r="G72" s="32"/>
      <c r="H72" s="32"/>
      <c r="I72" s="32"/>
      <c r="J72" s="32" t="s">
        <v>8</v>
      </c>
      <c r="K72" s="33" t="str">
        <f aca="false">IFERROR(VLOOKUP(J72,Condensadoras!A:H,7,0),"")</f>
        <v>Azotea - Detrás</v>
      </c>
      <c r="L72" s="33" t="str">
        <f aca="false">IFERROR(VLOOKUP(J72,Condensadoras!A:H,8,0),"")</f>
        <v>R-410A</v>
      </c>
      <c r="M72" s="34" t="n">
        <v>42005</v>
      </c>
      <c r="N72" s="32"/>
      <c r="O72" s="32"/>
      <c r="P72" s="32"/>
      <c r="Q72" s="35"/>
      <c r="R72" s="35"/>
    </row>
    <row r="73" customFormat="false" ht="14.25" hidden="false" customHeight="false" outlineLevel="0" collapsed="false">
      <c r="A73" s="32" t="n">
        <v>6</v>
      </c>
      <c r="B73" s="32" t="n">
        <v>1</v>
      </c>
      <c r="C73" s="32" t="s">
        <v>143</v>
      </c>
      <c r="D73" s="32" t="s">
        <v>167</v>
      </c>
      <c r="E73" s="32" t="s">
        <v>13</v>
      </c>
      <c r="F73" s="32"/>
      <c r="G73" s="32"/>
      <c r="H73" s="32"/>
      <c r="I73" s="32"/>
      <c r="J73" s="32" t="s">
        <v>8</v>
      </c>
      <c r="K73" s="33" t="str">
        <f aca="false">IFERROR(VLOOKUP(J73,Condensadoras!A:H,7,0),"")</f>
        <v>Azotea - Detrás</v>
      </c>
      <c r="L73" s="33" t="str">
        <f aca="false">IFERROR(VLOOKUP(J73,Condensadoras!A:H,8,0),"")</f>
        <v>R-410A</v>
      </c>
      <c r="M73" s="34" t="n">
        <v>42005</v>
      </c>
      <c r="N73" s="32"/>
      <c r="O73" s="32"/>
      <c r="P73" s="32"/>
      <c r="Q73" s="35"/>
      <c r="R73" s="35"/>
    </row>
    <row r="74" customFormat="false" ht="14.25" hidden="false" customHeight="false" outlineLevel="0" collapsed="false">
      <c r="A74" s="32" t="n">
        <v>7</v>
      </c>
      <c r="B74" s="32" t="n">
        <v>1</v>
      </c>
      <c r="C74" s="32" t="s">
        <v>143</v>
      </c>
      <c r="D74" s="32" t="s">
        <v>167</v>
      </c>
      <c r="E74" s="32" t="s">
        <v>14</v>
      </c>
      <c r="F74" s="32"/>
      <c r="G74" s="32"/>
      <c r="H74" s="32"/>
      <c r="I74" s="32"/>
      <c r="J74" s="32" t="s">
        <v>8</v>
      </c>
      <c r="K74" s="33" t="str">
        <f aca="false">IFERROR(VLOOKUP(J74,Condensadoras!A:H,7,0),"")</f>
        <v>Azotea - Detrás</v>
      </c>
      <c r="L74" s="33" t="str">
        <f aca="false">IFERROR(VLOOKUP(J74,Condensadoras!A:H,8,0),"")</f>
        <v>R-410A</v>
      </c>
      <c r="M74" s="34" t="s">
        <v>155</v>
      </c>
      <c r="N74" s="32"/>
      <c r="O74" s="32" t="s">
        <v>147</v>
      </c>
      <c r="P74" s="32"/>
      <c r="Q74" s="35"/>
      <c r="R74" s="35"/>
    </row>
    <row r="75" customFormat="false" ht="14.25" hidden="false" customHeight="false" outlineLevel="0" collapsed="false">
      <c r="A75" s="32" t="n">
        <v>8</v>
      </c>
      <c r="B75" s="32" t="n">
        <v>1</v>
      </c>
      <c r="C75" s="32" t="s">
        <v>143</v>
      </c>
      <c r="D75" s="32" t="s">
        <v>167</v>
      </c>
      <c r="E75" s="32" t="s">
        <v>17</v>
      </c>
      <c r="F75" s="32"/>
      <c r="G75" s="32"/>
      <c r="H75" s="32"/>
      <c r="I75" s="32"/>
      <c r="J75" s="32" t="s">
        <v>8</v>
      </c>
      <c r="K75" s="33" t="str">
        <f aca="false">IFERROR(VLOOKUP(J75,Condensadoras!A:H,7,0),"")</f>
        <v>Azotea - Detrás</v>
      </c>
      <c r="L75" s="33" t="str">
        <f aca="false">IFERROR(VLOOKUP(J75,Condensadoras!A:H,8,0),"")</f>
        <v>R-410A</v>
      </c>
      <c r="M75" s="34" t="s">
        <v>155</v>
      </c>
      <c r="N75" s="32"/>
      <c r="O75" s="32" t="s">
        <v>147</v>
      </c>
      <c r="P75" s="32"/>
      <c r="Q75" s="35"/>
      <c r="R75" s="35"/>
    </row>
    <row r="76" customFormat="false" ht="14.25" hidden="false" customHeight="false" outlineLevel="0" collapsed="false">
      <c r="A76" s="32" t="n">
        <v>9</v>
      </c>
      <c r="B76" s="32" t="n">
        <v>1</v>
      </c>
      <c r="C76" s="32" t="s">
        <v>143</v>
      </c>
      <c r="D76" s="32" t="s">
        <v>167</v>
      </c>
      <c r="E76" s="32" t="s">
        <v>15</v>
      </c>
      <c r="F76" s="32"/>
      <c r="G76" s="32"/>
      <c r="H76" s="32"/>
      <c r="I76" s="32"/>
      <c r="J76" s="32" t="s">
        <v>8</v>
      </c>
      <c r="K76" s="33" t="str">
        <f aca="false">IFERROR(VLOOKUP(J76,Condensadoras!A:H,7,0),"")</f>
        <v>Azotea - Detrás</v>
      </c>
      <c r="L76" s="33" t="str">
        <f aca="false">IFERROR(VLOOKUP(J76,Condensadoras!A:H,8,0),"")</f>
        <v>R-410A</v>
      </c>
      <c r="M76" s="34" t="n">
        <v>40909</v>
      </c>
      <c r="N76" s="32"/>
      <c r="O76" s="32"/>
      <c r="P76" s="32"/>
      <c r="Q76" s="35"/>
      <c r="R76" s="35"/>
    </row>
    <row r="77" customFormat="false" ht="27.75" hidden="false" customHeight="true" outlineLevel="0" collapsed="false">
      <c r="A77" s="32" t="n">
        <v>10</v>
      </c>
      <c r="B77" s="32" t="n">
        <v>1</v>
      </c>
      <c r="C77" s="32" t="s">
        <v>143</v>
      </c>
      <c r="D77" s="32" t="s">
        <v>167</v>
      </c>
      <c r="E77" s="32" t="s">
        <v>16</v>
      </c>
      <c r="F77" s="32"/>
      <c r="G77" s="32"/>
      <c r="H77" s="32"/>
      <c r="I77" s="32"/>
      <c r="J77" s="32" t="s">
        <v>8</v>
      </c>
      <c r="K77" s="33" t="str">
        <f aca="false">IFERROR(VLOOKUP(J77,Condensadoras!A:H,7,0),"")</f>
        <v>Azotea - Detrás</v>
      </c>
      <c r="L77" s="33" t="str">
        <f aca="false">IFERROR(VLOOKUP(J77,Condensadoras!A:H,8,0),"")</f>
        <v>R-410A</v>
      </c>
      <c r="M77" s="34" t="n">
        <v>38718</v>
      </c>
      <c r="N77" s="32"/>
      <c r="O77" s="32"/>
      <c r="P77" s="30"/>
      <c r="Q77" s="38"/>
      <c r="R77" s="38"/>
    </row>
    <row r="78" customFormat="false" ht="27.75" hidden="false" customHeight="true" outlineLevel="0" collapsed="false">
      <c r="A78" s="32" t="n">
        <v>11</v>
      </c>
      <c r="B78" s="32" t="n">
        <v>1</v>
      </c>
      <c r="C78" s="32" t="s">
        <v>143</v>
      </c>
      <c r="D78" s="32" t="s">
        <v>167</v>
      </c>
      <c r="E78" s="32" t="s">
        <v>12</v>
      </c>
      <c r="F78" s="32"/>
      <c r="G78" s="32"/>
      <c r="H78" s="32"/>
      <c r="I78" s="32"/>
      <c r="J78" s="32" t="s">
        <v>8</v>
      </c>
      <c r="K78" s="33" t="str">
        <f aca="false">IFERROR(VLOOKUP(J78,Condensadoras!A:H,7,0),"")</f>
        <v>Azotea - Detrás</v>
      </c>
      <c r="L78" s="33" t="str">
        <f aca="false">IFERROR(VLOOKUP(J78,Condensadoras!A:H,8,0),"")</f>
        <v>R-410A</v>
      </c>
      <c r="M78" s="34" t="n">
        <v>38718</v>
      </c>
      <c r="N78" s="32"/>
      <c r="O78" s="32"/>
      <c r="P78" s="30"/>
      <c r="Q78" s="38"/>
      <c r="R78" s="38"/>
    </row>
    <row r="79" customFormat="false" ht="27.75" hidden="false" customHeight="true" outlineLevel="0" collapsed="false">
      <c r="A79" s="32" t="n">
        <v>12</v>
      </c>
      <c r="B79" s="32" t="n">
        <v>1</v>
      </c>
      <c r="C79" s="32" t="s">
        <v>143</v>
      </c>
      <c r="D79" s="32" t="s">
        <v>167</v>
      </c>
      <c r="E79" s="32" t="s">
        <v>10</v>
      </c>
      <c r="F79" s="32"/>
      <c r="G79" s="32"/>
      <c r="H79" s="32"/>
      <c r="I79" s="32"/>
      <c r="J79" s="32" t="s">
        <v>8</v>
      </c>
      <c r="K79" s="33" t="str">
        <f aca="false">IFERROR(VLOOKUP(J79,Condensadoras!A:H,7,0),"")</f>
        <v>Azotea - Detrás</v>
      </c>
      <c r="L79" s="33" t="str">
        <f aca="false">IFERROR(VLOOKUP(J79,Condensadoras!A:H,8,0),"")</f>
        <v>R-410A</v>
      </c>
      <c r="M79" s="34" t="n">
        <v>38718</v>
      </c>
      <c r="N79" s="32"/>
      <c r="O79" s="32"/>
      <c r="P79" s="30"/>
      <c r="Q79" s="38"/>
      <c r="R79" s="38"/>
    </row>
    <row r="80" customFormat="false" ht="27.75" hidden="false" customHeight="true" outlineLevel="0" collapsed="false">
      <c r="A80" s="32" t="n">
        <v>13</v>
      </c>
      <c r="B80" s="32" t="n">
        <v>1</v>
      </c>
      <c r="C80" s="32" t="s">
        <v>143</v>
      </c>
      <c r="D80" s="32" t="s">
        <v>167</v>
      </c>
      <c r="E80" s="32" t="s">
        <v>11</v>
      </c>
      <c r="F80" s="32"/>
      <c r="G80" s="32"/>
      <c r="H80" s="32"/>
      <c r="I80" s="32"/>
      <c r="J80" s="32" t="s">
        <v>8</v>
      </c>
      <c r="K80" s="33" t="str">
        <f aca="false">IFERROR(VLOOKUP(J80,Condensadoras!A:H,7,0),"")</f>
        <v>Azotea - Detrás</v>
      </c>
      <c r="L80" s="33" t="str">
        <f aca="false">IFERROR(VLOOKUP(J80,Condensadoras!A:H,8,0),"")</f>
        <v>R-410A</v>
      </c>
      <c r="M80" s="34" t="n">
        <v>43831</v>
      </c>
      <c r="N80" s="32"/>
      <c r="O80" s="32"/>
      <c r="P80" s="30"/>
      <c r="Q80" s="38"/>
      <c r="R80" s="38"/>
    </row>
    <row r="81" customFormat="false" ht="27.75" hidden="false" customHeight="true" outlineLevel="0" collapsed="false">
      <c r="A81" s="32" t="n">
        <v>14</v>
      </c>
      <c r="B81" s="32" t="n">
        <v>1</v>
      </c>
      <c r="C81" s="32" t="s">
        <v>143</v>
      </c>
      <c r="D81" s="32" t="s">
        <v>167</v>
      </c>
      <c r="E81" s="32" t="s">
        <v>18</v>
      </c>
      <c r="F81" s="32"/>
      <c r="G81" s="32"/>
      <c r="H81" s="32"/>
      <c r="I81" s="32"/>
      <c r="J81" s="32" t="s">
        <v>8</v>
      </c>
      <c r="K81" s="33" t="str">
        <f aca="false">IFERROR(VLOOKUP(J81,Condensadoras!A:H,7,0),"")</f>
        <v>Azotea - Detrás</v>
      </c>
      <c r="L81" s="33" t="str">
        <f aca="false">IFERROR(VLOOKUP(J81,Condensadoras!A:H,8,0),"")</f>
        <v>R-410A</v>
      </c>
      <c r="M81" s="34" t="n">
        <v>42005</v>
      </c>
      <c r="N81" s="32"/>
      <c r="O81" s="32"/>
      <c r="P81" s="30"/>
      <c r="Q81" s="38"/>
      <c r="R81" s="38"/>
    </row>
    <row r="82" customFormat="false" ht="27.75" hidden="false" customHeight="true" outlineLevel="0" collapsed="false">
      <c r="A82" s="32" t="n">
        <v>15</v>
      </c>
      <c r="B82" s="32" t="n">
        <v>1</v>
      </c>
      <c r="C82" s="32" t="s">
        <v>143</v>
      </c>
      <c r="D82" s="32" t="s">
        <v>167</v>
      </c>
      <c r="E82" s="32" t="s">
        <v>19</v>
      </c>
      <c r="F82" s="32"/>
      <c r="G82" s="32"/>
      <c r="H82" s="32"/>
      <c r="I82" s="32"/>
      <c r="J82" s="32" t="s">
        <v>8</v>
      </c>
      <c r="K82" s="33" t="str">
        <f aca="false">IFERROR(VLOOKUP(J82,Condensadoras!A:H,7,0),"")</f>
        <v>Azotea - Detrás</v>
      </c>
      <c r="L82" s="33" t="str">
        <f aca="false">IFERROR(VLOOKUP(J82,Condensadoras!A:H,8,0),"")</f>
        <v>R-410A</v>
      </c>
      <c r="M82" s="34"/>
      <c r="N82" s="32"/>
      <c r="O82" s="32"/>
      <c r="P82" s="30"/>
      <c r="Q82" s="38"/>
      <c r="R82" s="38"/>
    </row>
    <row r="83" customFormat="false" ht="27.75" hidden="false" customHeight="true" outlineLevel="0" collapsed="false">
      <c r="A83" s="32" t="s">
        <v>168</v>
      </c>
      <c r="B83" s="32" t="n">
        <v>1</v>
      </c>
      <c r="C83" s="32" t="s">
        <v>143</v>
      </c>
      <c r="D83" s="32" t="s">
        <v>167</v>
      </c>
      <c r="E83" s="32" t="s">
        <v>54</v>
      </c>
      <c r="F83" s="32"/>
      <c r="G83" s="32"/>
      <c r="H83" s="32"/>
      <c r="I83" s="32"/>
      <c r="J83" s="32" t="s">
        <v>53</v>
      </c>
      <c r="K83" s="33" t="str">
        <f aca="false">IFERROR(VLOOKUP(J83,Condensadoras!A:H,7,0),"")</f>
        <v>Azotea - Detrás</v>
      </c>
      <c r="L83" s="33" t="str">
        <f aca="false">IFERROR(VLOOKUP(J83,Condensadoras!A:H,8,0),"")</f>
        <v>R-32</v>
      </c>
      <c r="M83" s="34" t="s">
        <v>169</v>
      </c>
      <c r="N83" s="32"/>
      <c r="O83" s="32" t="s">
        <v>146</v>
      </c>
      <c r="P83" s="30"/>
      <c r="Q83" s="38"/>
      <c r="R83" s="38"/>
    </row>
    <row r="84" customFormat="false" ht="27.75" hidden="false" customHeight="true" outlineLevel="0" collapsed="false">
      <c r="A84" s="32" t="s">
        <v>170</v>
      </c>
      <c r="B84" s="32" t="n">
        <v>1</v>
      </c>
      <c r="C84" s="32" t="s">
        <v>143</v>
      </c>
      <c r="D84" s="32" t="s">
        <v>167</v>
      </c>
      <c r="E84" s="32" t="s">
        <v>56</v>
      </c>
      <c r="F84" s="32"/>
      <c r="G84" s="32"/>
      <c r="H84" s="32"/>
      <c r="I84" s="32"/>
      <c r="J84" s="32" t="s">
        <v>55</v>
      </c>
      <c r="K84" s="33" t="str">
        <f aca="false">IFERROR(VLOOKUP(J84,Condensadoras!A:H,7,0),"")</f>
        <v>Azotea - Detrás</v>
      </c>
      <c r="L84" s="33" t="str">
        <f aca="false">IFERROR(VLOOKUP(J84,Condensadoras!A:H,8,0),"")</f>
        <v>R-32</v>
      </c>
      <c r="M84" s="34" t="s">
        <v>169</v>
      </c>
      <c r="N84" s="32"/>
      <c r="O84" s="32" t="s">
        <v>146</v>
      </c>
      <c r="P84" s="30"/>
      <c r="Q84" s="38"/>
      <c r="R84" s="38"/>
    </row>
    <row r="85" customFormat="false" ht="27.75" hidden="false" customHeight="true" outlineLevel="0" collapsed="false">
      <c r="A85" s="32" t="s">
        <v>171</v>
      </c>
      <c r="B85" s="32" t="n">
        <v>1</v>
      </c>
      <c r="C85" s="32" t="s">
        <v>143</v>
      </c>
      <c r="D85" s="32" t="s">
        <v>167</v>
      </c>
      <c r="E85" s="32" t="s">
        <v>83</v>
      </c>
      <c r="F85" s="32"/>
      <c r="G85" s="32"/>
      <c r="H85" s="32"/>
      <c r="I85" s="32"/>
      <c r="J85" s="32" t="s">
        <v>81</v>
      </c>
      <c r="K85" s="33" t="str">
        <f aca="false">IFERROR(VLOOKUP(J85,Condensadoras!A:H,7,0),"")</f>
        <v>Azotea - Detrás</v>
      </c>
      <c r="L85" s="33" t="str">
        <f aca="false">IFERROR(VLOOKUP(J85,Condensadoras!A:H,8,0),"")</f>
        <v>R-410A</v>
      </c>
      <c r="M85" s="34" t="s">
        <v>169</v>
      </c>
      <c r="N85" s="32"/>
      <c r="O85" s="32" t="s">
        <v>146</v>
      </c>
      <c r="P85" s="30"/>
      <c r="Q85" s="38"/>
      <c r="R85" s="38"/>
    </row>
    <row r="86" customFormat="false" ht="27.75" hidden="false" customHeight="true" outlineLevel="0" collapsed="false">
      <c r="A86" s="32" t="s">
        <v>172</v>
      </c>
      <c r="B86" s="32" t="n">
        <v>1</v>
      </c>
      <c r="C86" s="32" t="s">
        <v>143</v>
      </c>
      <c r="D86" s="32" t="s">
        <v>167</v>
      </c>
      <c r="E86" s="32" t="s">
        <v>85</v>
      </c>
      <c r="F86" s="32"/>
      <c r="G86" s="32"/>
      <c r="H86" s="32"/>
      <c r="I86" s="32"/>
      <c r="J86" s="32" t="s">
        <v>84</v>
      </c>
      <c r="K86" s="33" t="str">
        <f aca="false">IFERROR(VLOOKUP(J86,Condensadoras!A:H,7,0),"")</f>
        <v>Azotea - Frente</v>
      </c>
      <c r="L86" s="33" t="str">
        <f aca="false">IFERROR(VLOOKUP(J86,Condensadoras!A:H,8,0),"")</f>
        <v>R-410A</v>
      </c>
      <c r="M86" s="34" t="s">
        <v>169</v>
      </c>
      <c r="N86" s="32"/>
      <c r="O86" s="32" t="s">
        <v>146</v>
      </c>
      <c r="P86" s="30"/>
      <c r="Q86" s="38"/>
      <c r="R86" s="38"/>
    </row>
    <row r="87" customFormat="false" ht="27.75" hidden="false" customHeight="true" outlineLevel="0" collapsed="false">
      <c r="A87" s="32" t="n">
        <v>33</v>
      </c>
      <c r="B87" s="32" t="n">
        <v>1</v>
      </c>
      <c r="C87" s="32" t="s">
        <v>143</v>
      </c>
      <c r="D87" s="32" t="s">
        <v>167</v>
      </c>
      <c r="E87" s="32" t="s">
        <v>87</v>
      </c>
      <c r="F87" s="32"/>
      <c r="G87" s="32"/>
      <c r="H87" s="32"/>
      <c r="I87" s="32"/>
      <c r="J87" s="32" t="s">
        <v>86</v>
      </c>
      <c r="K87" s="33" t="str">
        <f aca="false">IFERROR(VLOOKUP(J87,Condensadoras!A:H,7,0),"")</f>
        <v>Azotea - Frente</v>
      </c>
      <c r="L87" s="33" t="str">
        <f aca="false">IFERROR(VLOOKUP(J87,Condensadoras!A:H,8,0),"")</f>
        <v>R-410A</v>
      </c>
      <c r="M87" s="34" t="n">
        <v>42005</v>
      </c>
      <c r="N87" s="32"/>
      <c r="O87" s="32"/>
      <c r="P87" s="30"/>
      <c r="Q87" s="38"/>
      <c r="R87" s="38"/>
    </row>
    <row r="88" customFormat="false" ht="27.75" hidden="false" customHeight="true" outlineLevel="0" collapsed="false">
      <c r="A88" s="32" t="n">
        <v>34</v>
      </c>
      <c r="B88" s="32" t="n">
        <v>1</v>
      </c>
      <c r="C88" s="32" t="s">
        <v>143</v>
      </c>
      <c r="D88" s="32" t="s">
        <v>167</v>
      </c>
      <c r="E88" s="32" t="s">
        <v>89</v>
      </c>
      <c r="F88" s="32"/>
      <c r="G88" s="32"/>
      <c r="H88" s="32"/>
      <c r="I88" s="32"/>
      <c r="J88" s="32" t="s">
        <v>88</v>
      </c>
      <c r="K88" s="33" t="str">
        <f aca="false">IFERROR(VLOOKUP(J88,Condensadoras!A:H,7,0),"")</f>
        <v>Azotea - Frente</v>
      </c>
      <c r="L88" s="33" t="str">
        <f aca="false">IFERROR(VLOOKUP(J88,Condensadoras!A:H,8,0),"")</f>
        <v>R-410A</v>
      </c>
      <c r="M88" s="34" t="n">
        <v>42005</v>
      </c>
      <c r="N88" s="32"/>
      <c r="O88" s="32"/>
      <c r="P88" s="30"/>
      <c r="Q88" s="38"/>
      <c r="R88" s="38"/>
    </row>
    <row r="89" customFormat="false" ht="14.25" hidden="false" customHeight="false" outlineLevel="0" collapsed="false">
      <c r="A89" s="32" t="n">
        <v>35</v>
      </c>
      <c r="B89" s="32" t="n">
        <v>1</v>
      </c>
      <c r="C89" s="32" t="s">
        <v>143</v>
      </c>
      <c r="D89" s="32" t="s">
        <v>167</v>
      </c>
      <c r="E89" s="32" t="s">
        <v>91</v>
      </c>
      <c r="F89" s="32"/>
      <c r="G89" s="32"/>
      <c r="H89" s="32"/>
      <c r="I89" s="32"/>
      <c r="J89" s="32" t="s">
        <v>90</v>
      </c>
      <c r="K89" s="33" t="str">
        <f aca="false">IFERROR(VLOOKUP(J89,Condensadoras!A:H,7,0),"")</f>
        <v>Azotea - Frente</v>
      </c>
      <c r="L89" s="33" t="str">
        <f aca="false">IFERROR(VLOOKUP(J89,Condensadoras!A:H,8,0),"")</f>
        <v>R-410A</v>
      </c>
      <c r="M89" s="34"/>
      <c r="N89" s="32"/>
      <c r="O89" s="32"/>
      <c r="P89" s="32"/>
      <c r="Q89" s="35"/>
      <c r="R89" s="35"/>
    </row>
    <row r="90" customFormat="false" ht="14.25" hidden="false" customHeight="false" outlineLevel="0" collapsed="false">
      <c r="A90" s="32" t="s">
        <v>173</v>
      </c>
      <c r="B90" s="32" t="n">
        <v>1</v>
      </c>
      <c r="C90" s="32" t="s">
        <v>143</v>
      </c>
      <c r="D90" s="32" t="s">
        <v>167</v>
      </c>
      <c r="E90" s="32" t="s">
        <v>113</v>
      </c>
      <c r="F90" s="32"/>
      <c r="G90" s="32"/>
      <c r="H90" s="32"/>
      <c r="I90" s="32"/>
      <c r="J90" s="32" t="s">
        <v>109</v>
      </c>
      <c r="K90" s="33" t="str">
        <f aca="false">IFERROR(VLOOKUP(J90,Condensadoras!A:H,7,0),"")</f>
        <v>Azotea-Detrás</v>
      </c>
      <c r="L90" s="33" t="str">
        <f aca="false">IFERROR(VLOOKUP(J90,Condensadoras!A:H,8,0),"")</f>
        <v>R-410A</v>
      </c>
      <c r="M90" s="34"/>
      <c r="N90" s="32"/>
      <c r="O90" s="32"/>
      <c r="P90" s="32"/>
      <c r="Q90" s="35"/>
      <c r="R90" s="35"/>
    </row>
    <row r="91" customFormat="false" ht="14.25" hidden="false" customHeight="false" outlineLevel="0" collapsed="false">
      <c r="A91" s="30" t="n">
        <v>22</v>
      </c>
      <c r="B91" s="32" t="n">
        <v>1</v>
      </c>
      <c r="C91" s="32" t="s">
        <v>143</v>
      </c>
      <c r="D91" s="30" t="s">
        <v>174</v>
      </c>
      <c r="E91" s="30" t="s">
        <v>63</v>
      </c>
      <c r="F91" s="30"/>
      <c r="G91" s="30"/>
      <c r="H91" s="30"/>
      <c r="I91" s="30"/>
      <c r="J91" s="30" t="s">
        <v>57</v>
      </c>
      <c r="K91" s="33" t="str">
        <f aca="false">IFERROR(VLOOKUP(J91,Condensadoras!A:H,7,0),"")</f>
        <v>Azotea - Detrás</v>
      </c>
      <c r="L91" s="33" t="str">
        <f aca="false">IFERROR(VLOOKUP(J91,Condensadoras!A:H,8,0),"")</f>
        <v>R-407</v>
      </c>
      <c r="M91" s="34"/>
      <c r="N91" s="32"/>
      <c r="O91" s="32"/>
      <c r="P91" s="32"/>
      <c r="Q91" s="35"/>
      <c r="R91" s="35"/>
    </row>
    <row r="92" customFormat="false" ht="14.25" hidden="false" customHeight="false" outlineLevel="0" collapsed="false">
      <c r="A92" s="30" t="n">
        <v>23</v>
      </c>
      <c r="B92" s="32" t="n">
        <v>1</v>
      </c>
      <c r="C92" s="32" t="s">
        <v>143</v>
      </c>
      <c r="D92" s="30" t="s">
        <v>174</v>
      </c>
      <c r="E92" s="30" t="s">
        <v>58</v>
      </c>
      <c r="F92" s="30"/>
      <c r="G92" s="30"/>
      <c r="H92" s="30"/>
      <c r="I92" s="30"/>
      <c r="J92" s="30" t="s">
        <v>57</v>
      </c>
      <c r="K92" s="33" t="str">
        <f aca="false">IFERROR(VLOOKUP(J92,Condensadoras!A:H,7,0),"")</f>
        <v>Azotea - Detrás</v>
      </c>
      <c r="L92" s="33" t="str">
        <f aca="false">IFERROR(VLOOKUP(J92,Condensadoras!A:H,8,0),"")</f>
        <v>R-407</v>
      </c>
      <c r="M92" s="34"/>
      <c r="N92" s="32"/>
      <c r="O92" s="32"/>
      <c r="P92" s="32"/>
      <c r="Q92" s="35"/>
      <c r="R92" s="35"/>
    </row>
    <row r="93" customFormat="false" ht="14.25" hidden="false" customHeight="false" outlineLevel="0" collapsed="false">
      <c r="A93" s="30" t="n">
        <v>24</v>
      </c>
      <c r="B93" s="32" t="n">
        <v>1</v>
      </c>
      <c r="C93" s="32" t="s">
        <v>143</v>
      </c>
      <c r="D93" s="30" t="s">
        <v>174</v>
      </c>
      <c r="E93" s="30" t="s">
        <v>59</v>
      </c>
      <c r="F93" s="30"/>
      <c r="G93" s="30"/>
      <c r="H93" s="30"/>
      <c r="I93" s="30"/>
      <c r="J93" s="30" t="s">
        <v>57</v>
      </c>
      <c r="K93" s="33" t="str">
        <f aca="false">IFERROR(VLOOKUP(J93,Condensadoras!A:H,7,0),"")</f>
        <v>Azotea - Detrás</v>
      </c>
      <c r="L93" s="33" t="str">
        <f aca="false">IFERROR(VLOOKUP(J93,Condensadoras!A:H,8,0),"")</f>
        <v>R-407</v>
      </c>
      <c r="M93" s="34" t="n">
        <v>43831</v>
      </c>
      <c r="N93" s="32"/>
      <c r="O93" s="32"/>
      <c r="P93" s="32"/>
      <c r="Q93" s="35"/>
      <c r="R93" s="35"/>
    </row>
    <row r="94" customFormat="false" ht="14.25" hidden="false" customHeight="false" outlineLevel="0" collapsed="false">
      <c r="A94" s="30" t="n">
        <v>25</v>
      </c>
      <c r="B94" s="32" t="n">
        <v>1</v>
      </c>
      <c r="C94" s="32" t="s">
        <v>143</v>
      </c>
      <c r="D94" s="30" t="s">
        <v>174</v>
      </c>
      <c r="E94" s="30" t="s">
        <v>60</v>
      </c>
      <c r="F94" s="30"/>
      <c r="G94" s="30"/>
      <c r="H94" s="30"/>
      <c r="I94" s="30"/>
      <c r="J94" s="30" t="s">
        <v>57</v>
      </c>
      <c r="K94" s="33" t="str">
        <f aca="false">IFERROR(VLOOKUP(J94,Condensadoras!A:H,7,0),"")</f>
        <v>Azotea - Detrás</v>
      </c>
      <c r="L94" s="33" t="str">
        <f aca="false">IFERROR(VLOOKUP(J94,Condensadoras!A:H,8,0),"")</f>
        <v>R-407</v>
      </c>
      <c r="M94" s="34" t="n">
        <v>43831</v>
      </c>
      <c r="N94" s="32"/>
      <c r="O94" s="32"/>
      <c r="P94" s="32"/>
      <c r="Q94" s="35"/>
      <c r="R94" s="35"/>
    </row>
    <row r="95" customFormat="false" ht="14.25" hidden="false" customHeight="false" outlineLevel="0" collapsed="false">
      <c r="A95" s="30" t="n">
        <v>26</v>
      </c>
      <c r="B95" s="32" t="n">
        <v>1</v>
      </c>
      <c r="C95" s="32" t="s">
        <v>143</v>
      </c>
      <c r="D95" s="30" t="s">
        <v>174</v>
      </c>
      <c r="E95" s="30" t="s">
        <v>61</v>
      </c>
      <c r="F95" s="30"/>
      <c r="G95" s="30"/>
      <c r="H95" s="30"/>
      <c r="I95" s="30"/>
      <c r="J95" s="30" t="s">
        <v>57</v>
      </c>
      <c r="K95" s="33" t="str">
        <f aca="false">IFERROR(VLOOKUP(J95,Condensadoras!A:H,7,0),"")</f>
        <v>Azotea - Detrás</v>
      </c>
      <c r="L95" s="33" t="str">
        <f aca="false">IFERROR(VLOOKUP(J95,Condensadoras!A:H,8,0),"")</f>
        <v>R-407</v>
      </c>
      <c r="M95" s="34" t="n">
        <v>42005</v>
      </c>
      <c r="N95" s="32"/>
      <c r="O95" s="32"/>
      <c r="P95" s="32"/>
      <c r="Q95" s="35"/>
      <c r="R95" s="35"/>
    </row>
    <row r="96" customFormat="false" ht="14.25" hidden="false" customHeight="false" outlineLevel="0" collapsed="false">
      <c r="A96" s="30" t="n">
        <v>27</v>
      </c>
      <c r="B96" s="32" t="n">
        <v>1</v>
      </c>
      <c r="C96" s="32" t="s">
        <v>143</v>
      </c>
      <c r="D96" s="30" t="s">
        <v>174</v>
      </c>
      <c r="E96" s="30" t="s">
        <v>62</v>
      </c>
      <c r="F96" s="30"/>
      <c r="G96" s="30"/>
      <c r="H96" s="30"/>
      <c r="I96" s="30"/>
      <c r="J96" s="30" t="s">
        <v>57</v>
      </c>
      <c r="K96" s="33" t="str">
        <f aca="false">IFERROR(VLOOKUP(J96,Condensadoras!A:H,7,0),"")</f>
        <v>Azotea - Detrás</v>
      </c>
      <c r="L96" s="33" t="str">
        <f aca="false">IFERROR(VLOOKUP(J96,Condensadoras!A:H,8,0),"")</f>
        <v>R-407</v>
      </c>
      <c r="M96" s="34" t="n">
        <v>42005</v>
      </c>
      <c r="N96" s="32"/>
      <c r="O96" s="32"/>
      <c r="P96" s="32"/>
      <c r="Q96" s="35"/>
      <c r="R96" s="35"/>
    </row>
    <row r="97" customFormat="false" ht="14.25" hidden="false" customHeight="false" outlineLevel="0" collapsed="false">
      <c r="A97" s="30" t="n">
        <v>28</v>
      </c>
      <c r="B97" s="32" t="n">
        <v>1</v>
      </c>
      <c r="C97" s="32" t="s">
        <v>143</v>
      </c>
      <c r="D97" s="30" t="s">
        <v>174</v>
      </c>
      <c r="E97" s="30" t="s">
        <v>62</v>
      </c>
      <c r="F97" s="30"/>
      <c r="G97" s="30"/>
      <c r="H97" s="30"/>
      <c r="I97" s="30"/>
      <c r="J97" s="30" t="s">
        <v>57</v>
      </c>
      <c r="K97" s="33" t="str">
        <f aca="false">IFERROR(VLOOKUP(J97,Condensadoras!A:H,7,0),"")</f>
        <v>Azotea - Detrás</v>
      </c>
      <c r="L97" s="33" t="str">
        <f aca="false">IFERROR(VLOOKUP(J97,Condensadoras!A:H,8,0),"")</f>
        <v>R-407</v>
      </c>
      <c r="M97" s="34" t="n">
        <v>42005</v>
      </c>
      <c r="N97" s="32"/>
      <c r="O97" s="32"/>
      <c r="P97" s="32"/>
      <c r="Q97" s="35"/>
      <c r="R97" s="35"/>
    </row>
    <row r="98" customFormat="false" ht="14.25" hidden="false" customHeight="false" outlineLevel="0" collapsed="false">
      <c r="A98" s="30" t="n">
        <v>29</v>
      </c>
      <c r="B98" s="32" t="n">
        <v>1</v>
      </c>
      <c r="C98" s="32" t="s">
        <v>143</v>
      </c>
      <c r="D98" s="30" t="s">
        <v>174</v>
      </c>
      <c r="E98" s="30" t="s">
        <v>62</v>
      </c>
      <c r="F98" s="30"/>
      <c r="G98" s="30"/>
      <c r="H98" s="30"/>
      <c r="I98" s="30"/>
      <c r="J98" s="30" t="s">
        <v>57</v>
      </c>
      <c r="K98" s="33" t="str">
        <f aca="false">IFERROR(VLOOKUP(J98,Condensadoras!A:H,7,0),"")</f>
        <v>Azotea - Detrás</v>
      </c>
      <c r="L98" s="33" t="str">
        <f aca="false">IFERROR(VLOOKUP(J98,Condensadoras!A:H,8,0),"")</f>
        <v>R-407</v>
      </c>
      <c r="M98" s="34"/>
      <c r="N98" s="32"/>
      <c r="O98" s="32"/>
      <c r="P98" s="32"/>
      <c r="Q98" s="35"/>
      <c r="R98" s="35"/>
    </row>
    <row r="99" customFormat="false" ht="28.5" hidden="false" customHeight="true" outlineLevel="0" collapsed="false">
      <c r="A99" s="30" t="n">
        <v>30</v>
      </c>
      <c r="B99" s="32" t="n">
        <v>1</v>
      </c>
      <c r="C99" s="32" t="s">
        <v>143</v>
      </c>
      <c r="D99" s="30" t="s">
        <v>174</v>
      </c>
      <c r="E99" s="30" t="s">
        <v>62</v>
      </c>
      <c r="F99" s="30"/>
      <c r="G99" s="30"/>
      <c r="H99" s="30"/>
      <c r="I99" s="30"/>
      <c r="J99" s="30" t="s">
        <v>57</v>
      </c>
      <c r="K99" s="33" t="str">
        <f aca="false">IFERROR(VLOOKUP(J99,Condensadoras!A:H,7,0),"")</f>
        <v>Azotea - Detrás</v>
      </c>
      <c r="L99" s="33" t="str">
        <f aca="false">IFERROR(VLOOKUP(J99,Condensadoras!A:H,8,0),"")</f>
        <v>R-407</v>
      </c>
      <c r="M99" s="34"/>
      <c r="N99" s="32"/>
      <c r="O99" s="32"/>
      <c r="P99" s="32"/>
      <c r="Q99" s="35"/>
      <c r="R99" s="35"/>
    </row>
    <row r="100" customFormat="false" ht="30" hidden="false" customHeight="true" outlineLevel="0" collapsed="false">
      <c r="A100" s="30" t="n">
        <v>31</v>
      </c>
      <c r="B100" s="32" t="n">
        <v>1</v>
      </c>
      <c r="C100" s="32" t="s">
        <v>143</v>
      </c>
      <c r="D100" s="30" t="s">
        <v>174</v>
      </c>
      <c r="E100" s="30" t="s">
        <v>62</v>
      </c>
      <c r="F100" s="30"/>
      <c r="G100" s="30"/>
      <c r="H100" s="30"/>
      <c r="I100" s="30"/>
      <c r="J100" s="30" t="s">
        <v>57</v>
      </c>
      <c r="K100" s="33" t="str">
        <f aca="false">IFERROR(VLOOKUP(J100,Condensadoras!A:H,7,0),"")</f>
        <v>Azotea - Detrás</v>
      </c>
      <c r="L100" s="33" t="str">
        <f aca="false">IFERROR(VLOOKUP(J100,Condensadoras!A:H,8,0),"")</f>
        <v>R-407</v>
      </c>
      <c r="M100" s="34"/>
      <c r="N100" s="32"/>
      <c r="O100" s="32"/>
      <c r="P100" s="32"/>
      <c r="Q100" s="35"/>
      <c r="R100" s="35"/>
    </row>
    <row r="101" customFormat="false" ht="14.25" hidden="false" customHeight="false" outlineLevel="0" collapsed="false">
      <c r="A101" s="30" t="n">
        <v>32</v>
      </c>
      <c r="B101" s="32" t="n">
        <v>1</v>
      </c>
      <c r="C101" s="32" t="s">
        <v>143</v>
      </c>
      <c r="D101" s="30" t="s">
        <v>174</v>
      </c>
      <c r="E101" s="30" t="s">
        <v>62</v>
      </c>
      <c r="F101" s="30"/>
      <c r="G101" s="30"/>
      <c r="H101" s="30"/>
      <c r="I101" s="30"/>
      <c r="J101" s="30" t="s">
        <v>57</v>
      </c>
      <c r="K101" s="33" t="str">
        <f aca="false">IFERROR(VLOOKUP(J101,Condensadoras!A:H,7,0),"")</f>
        <v>Azotea - Detrás</v>
      </c>
      <c r="L101" s="33" t="str">
        <f aca="false">IFERROR(VLOOKUP(J101,Condensadoras!A:H,8,0),"")</f>
        <v>R-407</v>
      </c>
      <c r="M101" s="34"/>
      <c r="N101" s="32"/>
      <c r="O101" s="32"/>
      <c r="P101" s="32"/>
      <c r="Q101" s="35"/>
      <c r="R101" s="35"/>
    </row>
    <row r="102" customFormat="false" ht="14.25" hidden="false" customHeight="false" outlineLevel="0" collapsed="false">
      <c r="A102" s="30" t="n">
        <v>7</v>
      </c>
      <c r="B102" s="32" t="n">
        <v>1</v>
      </c>
      <c r="C102" s="32" t="s">
        <v>143</v>
      </c>
      <c r="D102" s="30" t="s">
        <v>174</v>
      </c>
      <c r="E102" s="30" t="s">
        <v>77</v>
      </c>
      <c r="F102" s="30"/>
      <c r="G102" s="30"/>
      <c r="H102" s="30"/>
      <c r="I102" s="30"/>
      <c r="J102" s="30" t="s">
        <v>69</v>
      </c>
      <c r="K102" s="33" t="str">
        <f aca="false">IFERROR(VLOOKUP(J102,Condensadoras!A:H,7,0),"")</f>
        <v>Azotea - Detrás</v>
      </c>
      <c r="L102" s="33" t="str">
        <f aca="false">IFERROR(VLOOKUP(J102,Condensadoras!A:H,8,0),"")</f>
        <v>R-410A</v>
      </c>
      <c r="M102" s="34"/>
      <c r="N102" s="32"/>
      <c r="O102" s="32"/>
      <c r="P102" s="32"/>
      <c r="Q102" s="35"/>
      <c r="R102" s="35"/>
    </row>
    <row r="103" customFormat="false" ht="14.25" hidden="false" customHeight="false" outlineLevel="0" collapsed="false">
      <c r="A103" s="30" t="n">
        <v>8</v>
      </c>
      <c r="B103" s="32" t="n">
        <v>1</v>
      </c>
      <c r="C103" s="32" t="s">
        <v>143</v>
      </c>
      <c r="D103" s="30" t="s">
        <v>174</v>
      </c>
      <c r="E103" s="30" t="s">
        <v>78</v>
      </c>
      <c r="F103" s="30"/>
      <c r="G103" s="30"/>
      <c r="H103" s="30"/>
      <c r="I103" s="30"/>
      <c r="J103" s="30" t="s">
        <v>69</v>
      </c>
      <c r="K103" s="33" t="str">
        <f aca="false">IFERROR(VLOOKUP(J103,Condensadoras!A:H,7,0),"")</f>
        <v>Azotea - Detrás</v>
      </c>
      <c r="L103" s="33" t="str">
        <f aca="false">IFERROR(VLOOKUP(J103,Condensadoras!A:H,8,0),"")</f>
        <v>R-410A</v>
      </c>
      <c r="M103" s="34"/>
      <c r="N103" s="32"/>
      <c r="O103" s="32"/>
      <c r="P103" s="32"/>
      <c r="Q103" s="35"/>
      <c r="R103" s="35"/>
    </row>
    <row r="104" customFormat="false" ht="14.25" hidden="false" customHeight="false" outlineLevel="0" collapsed="false">
      <c r="A104" s="30" t="s">
        <v>175</v>
      </c>
      <c r="B104" s="32" t="n">
        <v>1</v>
      </c>
      <c r="C104" s="32" t="s">
        <v>143</v>
      </c>
      <c r="D104" s="30" t="s">
        <v>174</v>
      </c>
      <c r="E104" s="30" t="s">
        <v>97</v>
      </c>
      <c r="F104" s="30"/>
      <c r="G104" s="30"/>
      <c r="H104" s="30"/>
      <c r="I104" s="30"/>
      <c r="J104" s="30" t="s">
        <v>96</v>
      </c>
      <c r="K104" s="33" t="str">
        <f aca="false">IFERROR(VLOOKUP(J104,Condensadoras!A:H,7,0),"")</f>
        <v>Patio Olivera</v>
      </c>
      <c r="L104" s="33" t="str">
        <f aca="false">IFERROR(VLOOKUP(J104,Condensadoras!A:H,8,0),"")</f>
        <v>R-410A</v>
      </c>
      <c r="M104" s="34"/>
      <c r="N104" s="32"/>
      <c r="O104" s="32"/>
      <c r="P104" s="32"/>
      <c r="Q104" s="35"/>
      <c r="R104" s="35"/>
    </row>
    <row r="105" customFormat="false" ht="23.85" hidden="false" customHeight="false" outlineLevel="0" collapsed="false">
      <c r="A105" s="32" t="s">
        <v>176</v>
      </c>
      <c r="B105" s="32" t="n">
        <v>1</v>
      </c>
      <c r="C105" s="32" t="s">
        <v>143</v>
      </c>
      <c r="D105" s="30" t="s">
        <v>174</v>
      </c>
      <c r="E105" s="30" t="s">
        <v>111</v>
      </c>
      <c r="F105" s="32"/>
      <c r="G105" s="32"/>
      <c r="H105" s="32"/>
      <c r="I105" s="32"/>
      <c r="J105" s="32" t="s">
        <v>109</v>
      </c>
      <c r="K105" s="33" t="str">
        <f aca="false">IFERROR(VLOOKUP(J105,Condensadoras!A:H,7,0),"")</f>
        <v>Azotea-Detrás</v>
      </c>
      <c r="L105" s="33" t="str">
        <f aca="false">IFERROR(VLOOKUP(J105,Condensadoras!A:H,8,0),"")</f>
        <v>R-410A</v>
      </c>
      <c r="M105" s="34"/>
      <c r="N105" s="32"/>
      <c r="O105" s="32"/>
      <c r="P105" s="32"/>
      <c r="Q105" s="35"/>
      <c r="R105" s="35"/>
    </row>
    <row r="106" customFormat="false" ht="23.85" hidden="false" customHeight="false" outlineLevel="0" collapsed="false">
      <c r="A106" s="32" t="s">
        <v>177</v>
      </c>
      <c r="B106" s="32" t="n">
        <v>1</v>
      </c>
      <c r="C106" s="32" t="s">
        <v>143</v>
      </c>
      <c r="D106" s="30" t="s">
        <v>174</v>
      </c>
      <c r="E106" s="30" t="s">
        <v>112</v>
      </c>
      <c r="F106" s="32"/>
      <c r="G106" s="32"/>
      <c r="H106" s="32"/>
      <c r="I106" s="32"/>
      <c r="J106" s="32" t="s">
        <v>109</v>
      </c>
      <c r="K106" s="33" t="str">
        <f aca="false">IFERROR(VLOOKUP(J106,Condensadoras!A:H,7,0),"")</f>
        <v>Azotea-Detrás</v>
      </c>
      <c r="L106" s="33" t="str">
        <f aca="false">IFERROR(VLOOKUP(J106,Condensadoras!A:H,8,0),"")</f>
        <v>R-410A</v>
      </c>
      <c r="M106" s="34"/>
      <c r="N106" s="32"/>
      <c r="O106" s="32"/>
      <c r="P106" s="32"/>
      <c r="Q106" s="35"/>
      <c r="R106" s="35"/>
    </row>
  </sheetData>
  <autoFilter ref="A1:L106">
    <sortState ref="A2:L106">
      <sortCondition ref="A2:A106" customList=""/>
    </sortState>
  </autoFilter>
  <printOptions headings="false" gridLines="false" gridLinesSet="true" horizontalCentered="false" verticalCentered="false"/>
  <pageMargins left="0" right="0" top="0" bottom="0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3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J34" activeCellId="0" sqref="J34"/>
    </sheetView>
  </sheetViews>
  <sheetFormatPr defaultColWidth="11.453125" defaultRowHeight="14.25" customHeight="true" zeroHeight="false" outlineLevelRow="0" outlineLevelCol="0"/>
  <cols>
    <col collapsed="false" customWidth="true" hidden="false" outlineLevel="0" max="1" min="1" style="1" width="20.63"/>
    <col collapsed="false" customWidth="true" hidden="false" outlineLevel="0" max="2" min="2" style="1" width="20.77"/>
    <col collapsed="false" customWidth="true" hidden="false" outlineLevel="0" max="3" min="3" style="1" width="11.17"/>
    <col collapsed="false" customWidth="true" hidden="false" outlineLevel="0" max="4" min="4" style="1" width="16.12"/>
    <col collapsed="false" customWidth="true" hidden="false" outlineLevel="0" max="5" min="5" style="1" width="18.49"/>
    <col collapsed="false" customWidth="true" hidden="false" outlineLevel="0" max="6" min="6" style="1" width="21.27"/>
    <col collapsed="false" customWidth="true" hidden="false" outlineLevel="0" max="7" min="7" style="26" width="33.09"/>
    <col collapsed="false" customWidth="true" hidden="false" outlineLevel="0" max="8" min="8" style="26" width="11.7"/>
    <col collapsed="false" customWidth="true" hidden="false" outlineLevel="0" max="10" min="9" style="26" width="23.09"/>
    <col collapsed="false" customWidth="true" hidden="false" outlineLevel="0" max="11" min="11" style="27" width="21.91"/>
    <col collapsed="false" customWidth="true" hidden="false" outlineLevel="0" max="12" min="12" style="1" width="13.49"/>
    <col collapsed="false" customWidth="true" hidden="false" outlineLevel="0" max="13" min="13" style="39" width="32.15"/>
    <col collapsed="false" customWidth="true" hidden="false" outlineLevel="0" max="41" min="15" style="1" width="22.45"/>
    <col collapsed="false" customWidth="true" hidden="false" outlineLevel="0" max="42" min="42" style="1" width="12.54"/>
  </cols>
  <sheetData>
    <row r="1" s="41" customFormat="true" ht="15" hidden="false" customHeight="false" outlineLevel="0" collapsed="false">
      <c r="A1" s="28" t="s">
        <v>2</v>
      </c>
      <c r="B1" s="28" t="s">
        <v>129</v>
      </c>
      <c r="C1" s="28" t="s">
        <v>130</v>
      </c>
      <c r="D1" s="28" t="s">
        <v>178</v>
      </c>
      <c r="E1" s="28" t="s">
        <v>179</v>
      </c>
      <c r="F1" s="28" t="s">
        <v>180</v>
      </c>
      <c r="G1" s="28" t="s">
        <v>136</v>
      </c>
      <c r="H1" s="28" t="s">
        <v>1</v>
      </c>
      <c r="I1" s="28" t="s">
        <v>137</v>
      </c>
      <c r="J1" s="28" t="s">
        <v>138</v>
      </c>
      <c r="K1" s="28" t="s">
        <v>139</v>
      </c>
      <c r="L1" s="28" t="s">
        <v>140</v>
      </c>
      <c r="M1" s="40" t="s">
        <v>142</v>
      </c>
    </row>
    <row r="2" customFormat="false" ht="14.25" hidden="false" customHeight="false" outlineLevel="0" collapsed="false">
      <c r="A2" s="30" t="s">
        <v>8</v>
      </c>
      <c r="B2" s="30" t="n">
        <v>1</v>
      </c>
      <c r="C2" s="30" t="s">
        <v>143</v>
      </c>
      <c r="D2" s="30" t="s">
        <v>181</v>
      </c>
      <c r="E2" s="30"/>
      <c r="F2" s="30" t="n">
        <v>0</v>
      </c>
      <c r="G2" s="30" t="s">
        <v>182</v>
      </c>
      <c r="H2" s="30" t="s">
        <v>4</v>
      </c>
      <c r="I2" s="30" t="s">
        <v>145</v>
      </c>
      <c r="J2" s="30"/>
      <c r="K2" s="30" t="s">
        <v>148</v>
      </c>
      <c r="L2" s="31"/>
      <c r="M2" s="42" t="s">
        <v>183</v>
      </c>
    </row>
    <row r="3" customFormat="false" ht="14.25" hidden="false" customHeight="false" outlineLevel="0" collapsed="false">
      <c r="A3" s="43" t="s">
        <v>20</v>
      </c>
      <c r="B3" s="43" t="n">
        <v>1</v>
      </c>
      <c r="C3" s="30" t="s">
        <v>143</v>
      </c>
      <c r="D3" s="44" t="s">
        <v>181</v>
      </c>
      <c r="E3" s="43" t="s">
        <v>184</v>
      </c>
      <c r="F3" s="36"/>
      <c r="G3" s="43" t="s">
        <v>185</v>
      </c>
      <c r="H3" s="44" t="s">
        <v>4</v>
      </c>
      <c r="I3" s="45" t="s">
        <v>186</v>
      </c>
      <c r="J3" s="45"/>
      <c r="K3" s="32" t="s">
        <v>187</v>
      </c>
      <c r="L3" s="32"/>
      <c r="M3" s="46"/>
    </row>
    <row r="4" customFormat="false" ht="14.25" hidden="false" customHeight="false" outlineLevel="0" collapsed="false">
      <c r="A4" s="43" t="s">
        <v>29</v>
      </c>
      <c r="B4" s="43" t="n">
        <v>1</v>
      </c>
      <c r="C4" s="30" t="s">
        <v>143</v>
      </c>
      <c r="D4" s="44" t="s">
        <v>181</v>
      </c>
      <c r="E4" s="44"/>
      <c r="F4" s="32"/>
      <c r="G4" s="43" t="s">
        <v>182</v>
      </c>
      <c r="H4" s="43" t="s">
        <v>4</v>
      </c>
      <c r="I4" s="45" t="s">
        <v>155</v>
      </c>
      <c r="J4" s="45"/>
      <c r="K4" s="32" t="s">
        <v>147</v>
      </c>
      <c r="L4" s="32"/>
      <c r="M4" s="46" t="s">
        <v>183</v>
      </c>
    </row>
    <row r="5" customFormat="false" ht="14.25" hidden="false" customHeight="false" outlineLevel="0" collapsed="false">
      <c r="A5" s="43" t="s">
        <v>40</v>
      </c>
      <c r="B5" s="43" t="n">
        <v>1</v>
      </c>
      <c r="C5" s="30" t="s">
        <v>143</v>
      </c>
      <c r="D5" s="44" t="s">
        <v>181</v>
      </c>
      <c r="E5" s="44"/>
      <c r="F5" s="32"/>
      <c r="G5" s="43" t="s">
        <v>182</v>
      </c>
      <c r="H5" s="43" t="s">
        <v>4</v>
      </c>
      <c r="I5" s="45" t="s">
        <v>155</v>
      </c>
      <c r="J5" s="45"/>
      <c r="K5" s="32" t="s">
        <v>147</v>
      </c>
      <c r="L5" s="32"/>
      <c r="M5" s="46" t="s">
        <v>183</v>
      </c>
    </row>
    <row r="6" customFormat="false" ht="14.25" hidden="false" customHeight="false" outlineLevel="0" collapsed="false">
      <c r="A6" s="43" t="s">
        <v>53</v>
      </c>
      <c r="B6" s="43" t="n">
        <v>1</v>
      </c>
      <c r="C6" s="30" t="s">
        <v>143</v>
      </c>
      <c r="D6" s="44" t="s">
        <v>181</v>
      </c>
      <c r="E6" s="44" t="s">
        <v>188</v>
      </c>
      <c r="F6" s="32"/>
      <c r="G6" s="43" t="s">
        <v>182</v>
      </c>
      <c r="H6" s="43" t="s">
        <v>5</v>
      </c>
      <c r="I6" s="45" t="s">
        <v>145</v>
      </c>
      <c r="J6" s="45"/>
      <c r="K6" s="32" t="s">
        <v>148</v>
      </c>
      <c r="L6" s="32"/>
      <c r="M6" s="46" t="s">
        <v>183</v>
      </c>
    </row>
    <row r="7" customFormat="false" ht="14.25" hidden="false" customHeight="false" outlineLevel="0" collapsed="false">
      <c r="A7" s="43" t="s">
        <v>55</v>
      </c>
      <c r="B7" s="43" t="n">
        <v>1</v>
      </c>
      <c r="C7" s="30" t="s">
        <v>143</v>
      </c>
      <c r="D7" s="44" t="s">
        <v>181</v>
      </c>
      <c r="E7" s="44" t="s">
        <v>188</v>
      </c>
      <c r="F7" s="32"/>
      <c r="G7" s="43" t="s">
        <v>182</v>
      </c>
      <c r="H7" s="43" t="s">
        <v>5</v>
      </c>
      <c r="I7" s="45" t="s">
        <v>145</v>
      </c>
      <c r="J7" s="45"/>
      <c r="K7" s="32" t="s">
        <v>148</v>
      </c>
      <c r="L7" s="32"/>
      <c r="M7" s="46" t="s">
        <v>183</v>
      </c>
    </row>
    <row r="8" customFormat="false" ht="14.25" hidden="false" customHeight="false" outlineLevel="0" collapsed="false">
      <c r="A8" s="43" t="s">
        <v>189</v>
      </c>
      <c r="B8" s="43" t="n">
        <v>1</v>
      </c>
      <c r="C8" s="30" t="s">
        <v>143</v>
      </c>
      <c r="D8" s="44" t="s">
        <v>181</v>
      </c>
      <c r="E8" s="44"/>
      <c r="F8" s="32"/>
      <c r="G8" s="43" t="s">
        <v>182</v>
      </c>
      <c r="H8" s="43" t="s">
        <v>6</v>
      </c>
      <c r="I8" s="45"/>
      <c r="J8" s="45" t="n">
        <v>42004</v>
      </c>
      <c r="K8" s="32"/>
      <c r="L8" s="32"/>
      <c r="M8" s="46" t="s">
        <v>190</v>
      </c>
    </row>
    <row r="9" customFormat="false" ht="14.25" hidden="false" customHeight="false" outlineLevel="0" collapsed="false">
      <c r="A9" s="43" t="s">
        <v>57</v>
      </c>
      <c r="B9" s="43" t="n">
        <v>1</v>
      </c>
      <c r="C9" s="30" t="s">
        <v>143</v>
      </c>
      <c r="D9" s="44" t="s">
        <v>181</v>
      </c>
      <c r="E9" s="44"/>
      <c r="F9" s="32"/>
      <c r="G9" s="43" t="s">
        <v>182</v>
      </c>
      <c r="H9" s="43" t="s">
        <v>6</v>
      </c>
      <c r="I9" s="45" t="s">
        <v>155</v>
      </c>
      <c r="J9" s="45"/>
      <c r="K9" s="32" t="s">
        <v>147</v>
      </c>
      <c r="L9" s="32"/>
      <c r="M9" s="46" t="s">
        <v>183</v>
      </c>
    </row>
    <row r="10" customFormat="false" ht="14.25" hidden="false" customHeight="false" outlineLevel="0" collapsed="false">
      <c r="A10" s="43" t="s">
        <v>64</v>
      </c>
      <c r="B10" s="43" t="n">
        <v>1</v>
      </c>
      <c r="C10" s="30" t="s">
        <v>143</v>
      </c>
      <c r="D10" s="44" t="s">
        <v>181</v>
      </c>
      <c r="E10" s="44"/>
      <c r="F10" s="32"/>
      <c r="G10" s="43" t="s">
        <v>182</v>
      </c>
      <c r="H10" s="43" t="s">
        <v>4</v>
      </c>
      <c r="I10" s="45" t="s">
        <v>155</v>
      </c>
      <c r="J10" s="45"/>
      <c r="K10" s="32" t="s">
        <v>147</v>
      </c>
      <c r="L10" s="32"/>
      <c r="M10" s="46" t="s">
        <v>183</v>
      </c>
    </row>
    <row r="11" customFormat="false" ht="14.25" hidden="false" customHeight="false" outlineLevel="0" collapsed="false">
      <c r="A11" s="43" t="s">
        <v>69</v>
      </c>
      <c r="B11" s="43" t="n">
        <v>1</v>
      </c>
      <c r="C11" s="30" t="s">
        <v>143</v>
      </c>
      <c r="D11" s="44" t="s">
        <v>181</v>
      </c>
      <c r="E11" s="44"/>
      <c r="F11" s="32"/>
      <c r="G11" s="43" t="s">
        <v>182</v>
      </c>
      <c r="H11" s="43" t="s">
        <v>4</v>
      </c>
      <c r="I11" s="45" t="s">
        <v>155</v>
      </c>
      <c r="J11" s="45"/>
      <c r="K11" s="32" t="s">
        <v>147</v>
      </c>
      <c r="L11" s="32"/>
      <c r="M11" s="46" t="s">
        <v>183</v>
      </c>
    </row>
    <row r="12" customFormat="false" ht="14.25" hidden="false" customHeight="false" outlineLevel="0" collapsed="false">
      <c r="A12" s="43" t="s">
        <v>81</v>
      </c>
      <c r="B12" s="43" t="n">
        <v>1</v>
      </c>
      <c r="C12" s="30" t="s">
        <v>143</v>
      </c>
      <c r="D12" s="44" t="s">
        <v>181</v>
      </c>
      <c r="E12" s="44" t="s">
        <v>191</v>
      </c>
      <c r="F12" s="32"/>
      <c r="G12" s="43" t="s">
        <v>182</v>
      </c>
      <c r="H12" s="43" t="s">
        <v>4</v>
      </c>
      <c r="I12" s="45" t="s">
        <v>155</v>
      </c>
      <c r="J12" s="45"/>
      <c r="K12" s="32" t="s">
        <v>147</v>
      </c>
      <c r="L12" s="32"/>
      <c r="M12" s="46" t="s">
        <v>183</v>
      </c>
    </row>
    <row r="13" customFormat="false" ht="14.25" hidden="false" customHeight="false" outlineLevel="0" collapsed="false">
      <c r="A13" s="43" t="s">
        <v>84</v>
      </c>
      <c r="B13" s="43" t="n">
        <v>1</v>
      </c>
      <c r="C13" s="30" t="s">
        <v>143</v>
      </c>
      <c r="D13" s="44" t="s">
        <v>181</v>
      </c>
      <c r="E13" s="44" t="s">
        <v>191</v>
      </c>
      <c r="F13" s="32"/>
      <c r="G13" s="43" t="s">
        <v>192</v>
      </c>
      <c r="H13" s="43" t="s">
        <v>4</v>
      </c>
      <c r="I13" s="45" t="s">
        <v>155</v>
      </c>
      <c r="J13" s="45"/>
      <c r="K13" s="32" t="s">
        <v>147</v>
      </c>
      <c r="L13" s="32"/>
      <c r="M13" s="46" t="s">
        <v>183</v>
      </c>
    </row>
    <row r="14" customFormat="false" ht="14.25" hidden="false" customHeight="false" outlineLevel="0" collapsed="false">
      <c r="A14" s="43" t="s">
        <v>193</v>
      </c>
      <c r="B14" s="43" t="n">
        <v>1</v>
      </c>
      <c r="C14" s="30" t="s">
        <v>143</v>
      </c>
      <c r="D14" s="44" t="s">
        <v>181</v>
      </c>
      <c r="E14" s="44"/>
      <c r="F14" s="32"/>
      <c r="G14" s="43" t="s">
        <v>194</v>
      </c>
      <c r="H14" s="44" t="s">
        <v>195</v>
      </c>
      <c r="I14" s="45"/>
      <c r="J14" s="45" t="n">
        <v>42004</v>
      </c>
      <c r="K14" s="32"/>
      <c r="L14" s="32"/>
      <c r="M14" s="46" t="s">
        <v>190</v>
      </c>
    </row>
    <row r="15" customFormat="false" ht="14.25" hidden="false" customHeight="false" outlineLevel="0" collapsed="false">
      <c r="A15" s="43" t="s">
        <v>196</v>
      </c>
      <c r="B15" s="43" t="n">
        <v>1</v>
      </c>
      <c r="C15" s="30" t="s">
        <v>143</v>
      </c>
      <c r="D15" s="44" t="s">
        <v>181</v>
      </c>
      <c r="E15" s="44"/>
      <c r="F15" s="32"/>
      <c r="G15" s="43" t="s">
        <v>192</v>
      </c>
      <c r="H15" s="44" t="s">
        <v>195</v>
      </c>
      <c r="I15" s="45"/>
      <c r="J15" s="45" t="n">
        <v>42004</v>
      </c>
      <c r="K15" s="32"/>
      <c r="L15" s="32"/>
      <c r="M15" s="46" t="s">
        <v>190</v>
      </c>
    </row>
    <row r="16" customFormat="false" ht="14.25" hidden="false" customHeight="false" outlineLevel="0" collapsed="false">
      <c r="A16" s="43" t="s">
        <v>86</v>
      </c>
      <c r="B16" s="43" t="n">
        <v>1</v>
      </c>
      <c r="C16" s="30" t="s">
        <v>143</v>
      </c>
      <c r="D16" s="44" t="s">
        <v>181</v>
      </c>
      <c r="E16" s="44" t="s">
        <v>197</v>
      </c>
      <c r="F16" s="32"/>
      <c r="G16" s="43" t="s">
        <v>192</v>
      </c>
      <c r="H16" s="43" t="s">
        <v>4</v>
      </c>
      <c r="I16" s="45" t="s">
        <v>198</v>
      </c>
      <c r="J16" s="45"/>
      <c r="K16" s="32" t="s">
        <v>148</v>
      </c>
      <c r="L16" s="32"/>
      <c r="M16" s="46" t="s">
        <v>183</v>
      </c>
    </row>
    <row r="17" customFormat="false" ht="14.25" hidden="false" customHeight="false" outlineLevel="0" collapsed="false">
      <c r="A17" s="43" t="s">
        <v>88</v>
      </c>
      <c r="B17" s="43" t="n">
        <v>1</v>
      </c>
      <c r="C17" s="30" t="s">
        <v>143</v>
      </c>
      <c r="D17" s="44" t="s">
        <v>181</v>
      </c>
      <c r="E17" s="44" t="s">
        <v>197</v>
      </c>
      <c r="F17" s="32"/>
      <c r="G17" s="43" t="s">
        <v>192</v>
      </c>
      <c r="H17" s="43" t="s">
        <v>4</v>
      </c>
      <c r="I17" s="45" t="s">
        <v>198</v>
      </c>
      <c r="J17" s="45"/>
      <c r="K17" s="32" t="s">
        <v>148</v>
      </c>
      <c r="L17" s="32"/>
      <c r="M17" s="46" t="s">
        <v>183</v>
      </c>
    </row>
    <row r="18" customFormat="false" ht="14.25" hidden="false" customHeight="false" outlineLevel="0" collapsed="false">
      <c r="A18" s="43" t="s">
        <v>90</v>
      </c>
      <c r="B18" s="43" t="n">
        <v>1</v>
      </c>
      <c r="C18" s="30" t="s">
        <v>143</v>
      </c>
      <c r="D18" s="44" t="s">
        <v>181</v>
      </c>
      <c r="E18" s="44" t="s">
        <v>197</v>
      </c>
      <c r="F18" s="32"/>
      <c r="G18" s="43" t="s">
        <v>192</v>
      </c>
      <c r="H18" s="43" t="s">
        <v>4</v>
      </c>
      <c r="I18" s="45" t="s">
        <v>198</v>
      </c>
      <c r="J18" s="45"/>
      <c r="K18" s="32" t="s">
        <v>148</v>
      </c>
      <c r="L18" s="32"/>
      <c r="M18" s="46" t="s">
        <v>183</v>
      </c>
    </row>
    <row r="19" customFormat="false" ht="14.25" hidden="false" customHeight="false" outlineLevel="0" collapsed="false">
      <c r="A19" s="43" t="s">
        <v>92</v>
      </c>
      <c r="B19" s="43" t="n">
        <v>1</v>
      </c>
      <c r="C19" s="30" t="s">
        <v>143</v>
      </c>
      <c r="D19" s="44" t="s">
        <v>181</v>
      </c>
      <c r="E19" s="44" t="s">
        <v>199</v>
      </c>
      <c r="F19" s="32"/>
      <c r="G19" s="43" t="s">
        <v>192</v>
      </c>
      <c r="H19" s="43" t="s">
        <v>5</v>
      </c>
      <c r="I19" s="45" t="s">
        <v>200</v>
      </c>
      <c r="J19" s="45"/>
      <c r="K19" s="32" t="s">
        <v>149</v>
      </c>
      <c r="L19" s="32"/>
      <c r="M19" s="46" t="s">
        <v>183</v>
      </c>
    </row>
    <row r="20" customFormat="false" ht="14.25" hidden="false" customHeight="false" outlineLevel="0" collapsed="false">
      <c r="A20" s="43" t="s">
        <v>94</v>
      </c>
      <c r="B20" s="43" t="n">
        <v>1</v>
      </c>
      <c r="C20" s="30" t="s">
        <v>143</v>
      </c>
      <c r="D20" s="44" t="s">
        <v>181</v>
      </c>
      <c r="E20" s="44" t="s">
        <v>201</v>
      </c>
      <c r="F20" s="32"/>
      <c r="G20" s="43" t="s">
        <v>192</v>
      </c>
      <c r="H20" s="43" t="s">
        <v>5</v>
      </c>
      <c r="I20" s="45" t="s">
        <v>169</v>
      </c>
      <c r="J20" s="45"/>
      <c r="K20" s="32" t="s">
        <v>146</v>
      </c>
      <c r="L20" s="32"/>
      <c r="M20" s="46" t="s">
        <v>183</v>
      </c>
    </row>
    <row r="21" customFormat="false" ht="14.25" hidden="false" customHeight="false" outlineLevel="0" collapsed="false">
      <c r="A21" s="43" t="s">
        <v>202</v>
      </c>
      <c r="B21" s="43" t="n">
        <v>1</v>
      </c>
      <c r="C21" s="30" t="s">
        <v>143</v>
      </c>
      <c r="D21" s="44" t="s">
        <v>181</v>
      </c>
      <c r="E21" s="44"/>
      <c r="F21" s="32"/>
      <c r="G21" s="43" t="s">
        <v>194</v>
      </c>
      <c r="H21" s="44" t="s">
        <v>195</v>
      </c>
      <c r="I21" s="45"/>
      <c r="J21" s="45" t="n">
        <v>42004</v>
      </c>
      <c r="K21" s="32"/>
      <c r="L21" s="32"/>
      <c r="M21" s="46" t="s">
        <v>203</v>
      </c>
    </row>
    <row r="22" customFormat="false" ht="14.25" hidden="false" customHeight="false" outlineLevel="0" collapsed="false">
      <c r="A22" s="43" t="s">
        <v>204</v>
      </c>
      <c r="B22" s="43" t="n">
        <v>1</v>
      </c>
      <c r="C22" s="30" t="s">
        <v>143</v>
      </c>
      <c r="D22" s="44" t="s">
        <v>181</v>
      </c>
      <c r="E22" s="44"/>
      <c r="F22" s="32"/>
      <c r="G22" s="43" t="s">
        <v>194</v>
      </c>
      <c r="H22" s="44" t="s">
        <v>195</v>
      </c>
      <c r="I22" s="45"/>
      <c r="J22" s="45" t="n">
        <v>42004</v>
      </c>
      <c r="K22" s="32"/>
      <c r="L22" s="32"/>
      <c r="M22" s="46" t="s">
        <v>205</v>
      </c>
    </row>
    <row r="23" customFormat="false" ht="14.25" hidden="false" customHeight="false" outlineLevel="0" collapsed="false">
      <c r="A23" s="43" t="s">
        <v>96</v>
      </c>
      <c r="B23" s="43" t="n">
        <v>1</v>
      </c>
      <c r="C23" s="30" t="s">
        <v>143</v>
      </c>
      <c r="D23" s="44" t="s">
        <v>181</v>
      </c>
      <c r="E23" s="44" t="s">
        <v>188</v>
      </c>
      <c r="F23" s="32"/>
      <c r="G23" s="43" t="s">
        <v>206</v>
      </c>
      <c r="H23" s="44" t="s">
        <v>4</v>
      </c>
      <c r="I23" s="45" t="s">
        <v>207</v>
      </c>
      <c r="J23" s="45"/>
      <c r="K23" s="32" t="s">
        <v>208</v>
      </c>
      <c r="L23" s="32"/>
      <c r="M23" s="46"/>
    </row>
    <row r="24" customFormat="false" ht="14.25" hidden="false" customHeight="false" outlineLevel="0" collapsed="false">
      <c r="A24" s="43" t="s">
        <v>98</v>
      </c>
      <c r="B24" s="43" t="n">
        <v>1</v>
      </c>
      <c r="C24" s="30" t="s">
        <v>143</v>
      </c>
      <c r="D24" s="44" t="s">
        <v>181</v>
      </c>
      <c r="E24" s="44" t="s">
        <v>201</v>
      </c>
      <c r="F24" s="32"/>
      <c r="G24" s="43" t="s">
        <v>192</v>
      </c>
      <c r="H24" s="43" t="s">
        <v>5</v>
      </c>
      <c r="I24" s="45" t="s">
        <v>169</v>
      </c>
      <c r="J24" s="45"/>
      <c r="K24" s="32" t="s">
        <v>146</v>
      </c>
      <c r="L24" s="32"/>
      <c r="M24" s="46" t="s">
        <v>183</v>
      </c>
    </row>
    <row r="25" customFormat="false" ht="14.25" hidden="false" customHeight="false" outlineLevel="0" collapsed="false">
      <c r="A25" s="43" t="s">
        <v>209</v>
      </c>
      <c r="B25" s="43" t="n">
        <v>1</v>
      </c>
      <c r="C25" s="30" t="s">
        <v>143</v>
      </c>
      <c r="D25" s="44" t="s">
        <v>181</v>
      </c>
      <c r="E25" s="44"/>
      <c r="F25" s="32"/>
      <c r="G25" s="43" t="s">
        <v>194</v>
      </c>
      <c r="H25" s="44" t="s">
        <v>195</v>
      </c>
      <c r="I25" s="45"/>
      <c r="J25" s="45" t="n">
        <v>42004</v>
      </c>
      <c r="K25" s="32"/>
      <c r="L25" s="32"/>
      <c r="M25" s="46"/>
    </row>
    <row r="26" customFormat="false" ht="14.25" hidden="false" customHeight="false" outlineLevel="0" collapsed="false">
      <c r="A26" s="43" t="s">
        <v>100</v>
      </c>
      <c r="B26" s="43" t="n">
        <v>1</v>
      </c>
      <c r="C26" s="30" t="s">
        <v>143</v>
      </c>
      <c r="D26" s="44" t="s">
        <v>181</v>
      </c>
      <c r="E26" s="44" t="s">
        <v>210</v>
      </c>
      <c r="F26" s="32"/>
      <c r="G26" s="43" t="s">
        <v>192</v>
      </c>
      <c r="H26" s="43" t="s">
        <v>4</v>
      </c>
      <c r="I26" s="45" t="s">
        <v>169</v>
      </c>
      <c r="J26" s="45"/>
      <c r="K26" s="32" t="s">
        <v>146</v>
      </c>
      <c r="L26" s="32"/>
      <c r="M26" s="46" t="s">
        <v>183</v>
      </c>
    </row>
    <row r="27" customFormat="false" ht="14.25" hidden="false" customHeight="false" outlineLevel="0" collapsed="false">
      <c r="A27" s="43" t="s">
        <v>102</v>
      </c>
      <c r="B27" s="43" t="n">
        <v>1</v>
      </c>
      <c r="C27" s="30" t="s">
        <v>143</v>
      </c>
      <c r="D27" s="44" t="s">
        <v>181</v>
      </c>
      <c r="E27" s="44" t="s">
        <v>210</v>
      </c>
      <c r="F27" s="32"/>
      <c r="G27" s="43" t="s">
        <v>192</v>
      </c>
      <c r="H27" s="43" t="s">
        <v>4</v>
      </c>
      <c r="I27" s="45" t="s">
        <v>169</v>
      </c>
      <c r="J27" s="45"/>
      <c r="K27" s="32" t="s">
        <v>146</v>
      </c>
      <c r="L27" s="32"/>
      <c r="M27" s="46" t="s">
        <v>183</v>
      </c>
    </row>
    <row r="28" customFormat="false" ht="14.25" hidden="false" customHeight="false" outlineLevel="0" collapsed="false">
      <c r="A28" s="43" t="s">
        <v>103</v>
      </c>
      <c r="B28" s="43" t="n">
        <v>1</v>
      </c>
      <c r="C28" s="30" t="s">
        <v>143</v>
      </c>
      <c r="D28" s="44" t="s">
        <v>181</v>
      </c>
      <c r="E28" s="44" t="s">
        <v>191</v>
      </c>
      <c r="F28" s="32"/>
      <c r="G28" s="43" t="s">
        <v>192</v>
      </c>
      <c r="H28" s="43" t="s">
        <v>4</v>
      </c>
      <c r="I28" s="45" t="s">
        <v>169</v>
      </c>
      <c r="J28" s="45"/>
      <c r="K28" s="32" t="s">
        <v>146</v>
      </c>
      <c r="L28" s="32"/>
      <c r="M28" s="46" t="s">
        <v>183</v>
      </c>
    </row>
    <row r="29" customFormat="false" ht="14.25" hidden="false" customHeight="false" outlineLevel="0" collapsed="false">
      <c r="A29" s="43" t="s">
        <v>105</v>
      </c>
      <c r="B29" s="43" t="n">
        <v>1</v>
      </c>
      <c r="C29" s="30" t="s">
        <v>143</v>
      </c>
      <c r="D29" s="44" t="s">
        <v>181</v>
      </c>
      <c r="E29" s="44" t="s">
        <v>211</v>
      </c>
      <c r="F29" s="32"/>
      <c r="G29" s="43" t="s">
        <v>206</v>
      </c>
      <c r="H29" s="43" t="s">
        <v>4</v>
      </c>
      <c r="I29" s="45" t="s">
        <v>169</v>
      </c>
      <c r="J29" s="45"/>
      <c r="K29" s="32" t="s">
        <v>146</v>
      </c>
      <c r="L29" s="32"/>
      <c r="M29" s="46" t="s">
        <v>183</v>
      </c>
    </row>
    <row r="30" customFormat="false" ht="14.25" hidden="false" customHeight="false" outlineLevel="0" collapsed="false">
      <c r="A30" s="32" t="s">
        <v>107</v>
      </c>
      <c r="B30" s="43" t="n">
        <v>1</v>
      </c>
      <c r="C30" s="30" t="s">
        <v>143</v>
      </c>
      <c r="D30" s="44" t="s">
        <v>181</v>
      </c>
      <c r="E30" s="44" t="s">
        <v>201</v>
      </c>
      <c r="F30" s="32"/>
      <c r="G30" s="43" t="s">
        <v>206</v>
      </c>
      <c r="H30" s="43" t="s">
        <v>5</v>
      </c>
      <c r="I30" s="45" t="s">
        <v>169</v>
      </c>
      <c r="J30" s="45"/>
      <c r="K30" s="32" t="s">
        <v>146</v>
      </c>
      <c r="L30" s="32"/>
      <c r="M30" s="46" t="s">
        <v>183</v>
      </c>
    </row>
    <row r="31" customFormat="false" ht="14.25" hidden="false" customHeight="false" outlineLevel="0" collapsed="false">
      <c r="A31" s="32" t="s">
        <v>109</v>
      </c>
      <c r="B31" s="43" t="n">
        <v>1</v>
      </c>
      <c r="C31" s="30" t="s">
        <v>143</v>
      </c>
      <c r="D31" s="44" t="s">
        <v>181</v>
      </c>
      <c r="E31" s="36" t="s">
        <v>154</v>
      </c>
      <c r="F31" s="32"/>
      <c r="G31" s="43" t="s">
        <v>194</v>
      </c>
      <c r="H31" s="44" t="s">
        <v>4</v>
      </c>
      <c r="I31" s="45" t="s">
        <v>212</v>
      </c>
      <c r="J31" s="45"/>
      <c r="K31" s="32" t="s">
        <v>213</v>
      </c>
      <c r="L31" s="32"/>
      <c r="M31" s="46"/>
    </row>
    <row r="32" customFormat="false" ht="14.25" hidden="false" customHeight="false" outlineLevel="0" collapsed="false">
      <c r="A32" s="32" t="s">
        <v>116</v>
      </c>
      <c r="B32" s="43" t="n">
        <v>1</v>
      </c>
      <c r="C32" s="30" t="s">
        <v>143</v>
      </c>
      <c r="D32" s="44" t="s">
        <v>181</v>
      </c>
      <c r="E32" s="32" t="s">
        <v>214</v>
      </c>
      <c r="F32" s="36"/>
      <c r="G32" s="43" t="s">
        <v>182</v>
      </c>
      <c r="H32" s="44" t="s">
        <v>4</v>
      </c>
      <c r="I32" s="45" t="s">
        <v>169</v>
      </c>
      <c r="J32" s="45"/>
      <c r="K32" s="32" t="s">
        <v>146</v>
      </c>
      <c r="L32" s="32"/>
      <c r="M32" s="46" t="s">
        <v>183</v>
      </c>
    </row>
    <row r="33" customFormat="false" ht="14.25" hidden="false" customHeight="false" outlineLevel="0" collapsed="false">
      <c r="A33" s="32" t="s">
        <v>121</v>
      </c>
      <c r="B33" s="43" t="n">
        <v>1</v>
      </c>
      <c r="C33" s="30" t="s">
        <v>143</v>
      </c>
      <c r="D33" s="44" t="s">
        <v>181</v>
      </c>
      <c r="E33" s="32" t="s">
        <v>214</v>
      </c>
      <c r="F33" s="36"/>
      <c r="G33" s="32" t="s">
        <v>182</v>
      </c>
      <c r="H33" s="44" t="s">
        <v>4</v>
      </c>
      <c r="I33" s="45" t="s">
        <v>186</v>
      </c>
      <c r="J33" s="45"/>
      <c r="K33" s="32" t="s">
        <v>187</v>
      </c>
      <c r="L33" s="32"/>
      <c r="M33" s="46"/>
    </row>
  </sheetData>
  <autoFilter ref="A1:M33"/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11.453125" defaultRowHeight="14.25" customHeight="true" zeroHeight="false" outlineLevelRow="0" outlineLevelCol="0"/>
  <cols>
    <col collapsed="false" customWidth="true" hidden="false" outlineLevel="0" max="3" min="3" style="26" width="8.73"/>
    <col collapsed="false" customWidth="true" hidden="false" outlineLevel="0" max="4" min="4" style="26" width="14"/>
    <col collapsed="false" customWidth="true" hidden="false" outlineLevel="0" max="5" min="5" style="26" width="17.18"/>
    <col collapsed="false" customWidth="true" hidden="false" outlineLevel="0" max="9" min="9" style="1" width="16.45"/>
    <col collapsed="false" customWidth="true" hidden="false" outlineLevel="0" max="12" min="12" style="1" width="12.45"/>
  </cols>
  <sheetData>
    <row r="2" customFormat="false" ht="14.25" hidden="false" customHeight="false" outlineLevel="0" collapsed="false">
      <c r="D2" s="47" t="s">
        <v>215</v>
      </c>
      <c r="E2" s="47"/>
      <c r="H2" s="47" t="s">
        <v>216</v>
      </c>
      <c r="I2" s="47"/>
      <c r="K2" s="1" t="s">
        <v>217</v>
      </c>
    </row>
    <row r="3" customFormat="false" ht="15" hidden="false" customHeight="false" outlineLevel="0" collapsed="false">
      <c r="C3" s="47" t="s">
        <v>218</v>
      </c>
      <c r="D3" s="47" t="s">
        <v>219</v>
      </c>
      <c r="E3" s="47" t="s">
        <v>63</v>
      </c>
      <c r="H3" s="47" t="s">
        <v>219</v>
      </c>
      <c r="I3" s="47" t="s">
        <v>63</v>
      </c>
      <c r="K3" s="48" t="s">
        <v>220</v>
      </c>
    </row>
    <row r="4" customFormat="false" ht="15" hidden="false" customHeight="false" outlineLevel="0" collapsed="false">
      <c r="B4" s="49" t="s">
        <v>221</v>
      </c>
      <c r="C4" s="47"/>
      <c r="D4" s="47"/>
      <c r="E4" s="47"/>
      <c r="G4" s="49" t="s">
        <v>221</v>
      </c>
      <c r="H4" s="47"/>
      <c r="I4" s="47"/>
      <c r="K4" s="48" t="s">
        <v>222</v>
      </c>
    </row>
    <row r="5" customFormat="false" ht="15" hidden="false" customHeight="false" outlineLevel="0" collapsed="false">
      <c r="B5" s="49" t="s">
        <v>195</v>
      </c>
      <c r="C5" s="47"/>
      <c r="D5" s="47"/>
      <c r="E5" s="47"/>
      <c r="G5" s="49" t="s">
        <v>195</v>
      </c>
      <c r="H5" s="47"/>
      <c r="I5" s="47"/>
      <c r="K5" s="48" t="s">
        <v>223</v>
      </c>
    </row>
    <row r="6" customFormat="false" ht="14.25" hidden="false" customHeight="false" outlineLevel="0" collapsed="false">
      <c r="B6" s="49" t="s">
        <v>6</v>
      </c>
      <c r="C6" s="47" t="n">
        <v>1774</v>
      </c>
      <c r="D6" s="47" t="s">
        <v>224</v>
      </c>
      <c r="E6" s="47" t="s">
        <v>224</v>
      </c>
      <c r="G6" s="49" t="s">
        <v>6</v>
      </c>
      <c r="H6" s="47" t="s">
        <v>224</v>
      </c>
      <c r="I6" s="47" t="s">
        <v>224</v>
      </c>
    </row>
    <row r="7" customFormat="false" ht="14.25" hidden="false" customHeight="false" outlineLevel="0" collapsed="false">
      <c r="B7" s="49" t="s">
        <v>4</v>
      </c>
      <c r="C7" s="47" t="n">
        <v>2088</v>
      </c>
      <c r="D7" s="47" t="n">
        <v>2025</v>
      </c>
      <c r="E7" s="47" t="s">
        <v>225</v>
      </c>
      <c r="G7" s="49" t="s">
        <v>4</v>
      </c>
      <c r="H7" s="47" t="n">
        <v>2029</v>
      </c>
      <c r="I7" s="47" t="s">
        <v>226</v>
      </c>
    </row>
    <row r="8" customFormat="false" ht="14.25" hidden="false" customHeight="false" outlineLevel="0" collapsed="false">
      <c r="B8" s="49" t="s">
        <v>5</v>
      </c>
      <c r="C8" s="47" t="n">
        <v>675</v>
      </c>
      <c r="D8" s="47" t="s">
        <v>227</v>
      </c>
      <c r="E8" s="47" t="s">
        <v>225</v>
      </c>
      <c r="G8" s="49" t="s">
        <v>5</v>
      </c>
      <c r="H8" s="47" t="n">
        <v>2033</v>
      </c>
      <c r="I8" s="47" t="s">
        <v>226</v>
      </c>
    </row>
    <row r="11" customFormat="false" ht="14.25" hidden="false" customHeight="false" outlineLevel="0" collapsed="false">
      <c r="L11" s="50"/>
    </row>
    <row r="13" customFormat="false" ht="14.25" hidden="false" customHeight="false" outlineLevel="0" collapsed="false">
      <c r="D13" s="51"/>
    </row>
    <row r="14" customFormat="false" ht="14.25" hidden="false" customHeight="false" outlineLevel="0" collapsed="false">
      <c r="D14" s="51"/>
    </row>
    <row r="15" customFormat="false" ht="14.25" hidden="false" customHeight="false" outlineLevel="0" collapsed="false">
      <c r="D15" s="51"/>
    </row>
  </sheetData>
  <mergeCells count="2">
    <mergeCell ref="D2:E2"/>
    <mergeCell ref="H2:I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0.6796875" defaultRowHeight="14.25" customHeight="true" zeroHeight="false" outlineLevelRow="0" outlineLevelCol="0"/>
  <cols>
    <col collapsed="false" customWidth="true" hidden="false" outlineLevel="0" max="1" min="1" style="1" width="14.6"/>
    <col collapsed="false" customWidth="true" hidden="false" outlineLevel="0" max="2" min="2" style="1" width="23.23"/>
    <col collapsed="false" customWidth="true" hidden="false" outlineLevel="0" max="3" min="3" style="1" width="19.61"/>
    <col collapsed="false" customWidth="true" hidden="false" outlineLevel="0" max="4" min="4" style="1" width="11.54"/>
    <col collapsed="false" customWidth="true" hidden="false" outlineLevel="0" max="5" min="5" style="1" width="13.75"/>
    <col collapsed="false" customWidth="true" hidden="false" outlineLevel="0" max="6" min="6" style="1" width="14.33"/>
    <col collapsed="false" customWidth="true" hidden="false" outlineLevel="0" max="7" min="7" style="1" width="19.75"/>
    <col collapsed="false" customWidth="true" hidden="false" outlineLevel="0" max="8" min="8" style="1" width="18.22"/>
    <col collapsed="false" customWidth="true" hidden="false" outlineLevel="0" max="9" min="9" style="1" width="28.94"/>
    <col collapsed="false" customWidth="true" hidden="false" outlineLevel="0" max="10" min="10" style="1" width="27.54"/>
  </cols>
  <sheetData>
    <row r="1" s="53" customFormat="true" ht="15" hidden="false" customHeight="false" outlineLevel="0" collapsed="false">
      <c r="A1" s="52" t="s">
        <v>228</v>
      </c>
      <c r="B1" s="52" t="s">
        <v>229</v>
      </c>
      <c r="C1" s="53" t="s">
        <v>230</v>
      </c>
      <c r="D1" s="53" t="s">
        <v>231</v>
      </c>
      <c r="E1" s="53" t="s">
        <v>130</v>
      </c>
      <c r="F1" s="53" t="s">
        <v>131</v>
      </c>
      <c r="G1" s="53" t="s">
        <v>232</v>
      </c>
      <c r="H1" s="53" t="s">
        <v>233</v>
      </c>
      <c r="I1" s="53" t="s">
        <v>234</v>
      </c>
      <c r="J1" s="53" t="s">
        <v>142</v>
      </c>
    </row>
    <row r="2" s="56" customFormat="true" ht="14.25" hidden="false" customHeight="false" outlineLevel="0" collapsed="false">
      <c r="A2" s="54"/>
      <c r="B2" s="54"/>
      <c r="C2" s="55"/>
      <c r="D2" s="55"/>
      <c r="E2" s="55"/>
      <c r="F2" s="55"/>
      <c r="G2" s="55"/>
      <c r="H2" s="55"/>
      <c r="I2" s="55"/>
      <c r="J2" s="55"/>
    </row>
    <row r="3" customFormat="false" ht="14.25" hidden="false" customHeight="false" outlineLevel="0" collapsed="false">
      <c r="A3" s="54"/>
      <c r="B3" s="54"/>
      <c r="C3" s="55"/>
      <c r="D3" s="55"/>
      <c r="E3" s="55"/>
      <c r="F3" s="55"/>
      <c r="G3" s="55"/>
      <c r="H3" s="55"/>
      <c r="I3" s="55"/>
      <c r="J3" s="55"/>
    </row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10.6796875" defaultRowHeight="14.25" customHeight="true" zeroHeight="false" outlineLevelRow="0" outlineLevelCol="0"/>
  <cols>
    <col collapsed="false" customWidth="true" hidden="false" outlineLevel="0" max="1" min="1" style="27" width="12.51"/>
    <col collapsed="false" customWidth="true" hidden="false" outlineLevel="0" max="2" min="2" style="27" width="17"/>
    <col collapsed="false" customWidth="true" hidden="false" outlineLevel="0" max="3" min="3" style="27" width="21.84"/>
    <col collapsed="false" customWidth="true" hidden="false" outlineLevel="0" max="4" min="4" style="27" width="18.36"/>
    <col collapsed="false" customWidth="true" hidden="false" outlineLevel="0" max="5" min="5" style="27" width="27.54"/>
  </cols>
  <sheetData>
    <row r="1" s="41" customFormat="true" ht="15" hidden="false" customHeight="false" outlineLevel="0" collapsed="false">
      <c r="A1" s="57" t="s">
        <v>1</v>
      </c>
      <c r="B1" s="57" t="s">
        <v>218</v>
      </c>
      <c r="C1" s="57" t="s">
        <v>235</v>
      </c>
      <c r="D1" s="57" t="s">
        <v>236</v>
      </c>
      <c r="E1" s="57" t="s">
        <v>142</v>
      </c>
    </row>
    <row r="2" customFormat="false" ht="14.25" hidden="false" customHeight="false" outlineLevel="0" collapsed="false">
      <c r="A2" s="32" t="s">
        <v>195</v>
      </c>
      <c r="B2" s="32"/>
      <c r="C2" s="32"/>
      <c r="D2" s="32"/>
      <c r="E2" s="32"/>
    </row>
    <row r="3" customFormat="false" ht="14.25" hidden="false" customHeight="false" outlineLevel="0" collapsed="false">
      <c r="A3" s="32" t="s">
        <v>5</v>
      </c>
      <c r="B3" s="32" t="n">
        <v>675</v>
      </c>
      <c r="C3" s="32"/>
      <c r="D3" s="32"/>
      <c r="E3" s="32" t="s">
        <v>227</v>
      </c>
    </row>
    <row r="4" customFormat="false" ht="14.25" hidden="false" customHeight="false" outlineLevel="0" collapsed="false">
      <c r="A4" s="32" t="s">
        <v>6</v>
      </c>
      <c r="B4" s="32" t="n">
        <v>1774</v>
      </c>
      <c r="C4" s="32"/>
      <c r="D4" s="32"/>
      <c r="E4" s="32"/>
    </row>
    <row r="5" customFormat="false" ht="14.25" hidden="false" customHeight="false" outlineLevel="0" collapsed="false">
      <c r="A5" s="32" t="s">
        <v>4</v>
      </c>
      <c r="B5" s="32" t="n">
        <v>2088</v>
      </c>
      <c r="C5" s="32"/>
      <c r="D5" s="32"/>
      <c r="E5" s="3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6796875" defaultRowHeight="14.25" customHeight="true" zeroHeight="false" outlineLevelRow="0" outlineLevelCol="0"/>
  <cols>
    <col collapsed="false" customWidth="true" hidden="false" outlineLevel="0" max="1" min="1" style="1" width="16.27"/>
    <col collapsed="false" customWidth="true" hidden="false" outlineLevel="0" max="2" min="2" style="1" width="23.79"/>
  </cols>
  <sheetData>
    <row r="1" s="41" customFormat="true" ht="15" hidden="false" customHeight="false" outlineLevel="0" collapsed="false">
      <c r="A1" s="58" t="s">
        <v>178</v>
      </c>
      <c r="B1" s="58" t="s">
        <v>237</v>
      </c>
    </row>
    <row r="2" customFormat="false" ht="14.25" hidden="false" customHeight="false" outlineLevel="0" collapsed="false">
      <c r="A2" s="43" t="s">
        <v>181</v>
      </c>
      <c r="B2" s="3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0.6796875" defaultRowHeight="14.25" customHeight="true" zeroHeight="false" outlineLevelRow="0" outlineLevelCol="0"/>
  <cols>
    <col collapsed="false" customWidth="true" hidden="false" outlineLevel="0" max="1" min="1" style="27" width="21.28"/>
    <col collapsed="false" customWidth="true" hidden="false" outlineLevel="0" max="2" min="2" style="1" width="24.34"/>
  </cols>
  <sheetData>
    <row r="1" customFormat="false" ht="15" hidden="false" customHeight="false" outlineLevel="0" collapsed="false">
      <c r="A1" s="57" t="s">
        <v>238</v>
      </c>
      <c r="B1" s="58" t="s">
        <v>237</v>
      </c>
    </row>
    <row r="2" customFormat="false" ht="14.25" hidden="false" customHeight="false" outlineLevel="0" collapsed="false">
      <c r="A2" s="43" t="s">
        <v>154</v>
      </c>
      <c r="B2" s="35"/>
    </row>
    <row r="3" customFormat="false" ht="14.25" hidden="false" customHeight="false" outlineLevel="0" collapsed="false">
      <c r="A3" s="43" t="s">
        <v>163</v>
      </c>
      <c r="B3" s="3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796875" defaultRowHeight="14.25" customHeight="true" zeroHeight="false" outlineLevelRow="0" outlineLevelCol="0"/>
  <cols>
    <col collapsed="false" customWidth="true" hidden="false" outlineLevel="0" max="1" min="1" style="27" width="21.98"/>
    <col collapsed="false" customWidth="true" hidden="false" outlineLevel="0" max="2" min="2" style="1" width="24.06"/>
  </cols>
  <sheetData>
    <row r="1" s="26" customFormat="true" ht="15" hidden="false" customHeight="false" outlineLevel="0" collapsed="false">
      <c r="A1" s="57" t="s">
        <v>238</v>
      </c>
      <c r="B1" s="58" t="s">
        <v>237</v>
      </c>
    </row>
    <row r="2" customFormat="false" ht="14.25" hidden="false" customHeight="false" outlineLevel="0" collapsed="false">
      <c r="A2" s="32" t="s">
        <v>211</v>
      </c>
      <c r="B2" s="59"/>
    </row>
    <row r="3" customFormat="false" ht="14.25" hidden="false" customHeight="false" outlineLevel="0" collapsed="false">
      <c r="A3" s="32" t="s">
        <v>197</v>
      </c>
      <c r="B3" s="59"/>
    </row>
    <row r="4" customFormat="false" ht="14.25" hidden="false" customHeight="false" outlineLevel="0" collapsed="false">
      <c r="A4" s="32" t="s">
        <v>214</v>
      </c>
      <c r="B4" s="59"/>
    </row>
    <row r="5" customFormat="false" ht="14.25" hidden="false" customHeight="false" outlineLevel="0" collapsed="false">
      <c r="A5" s="32" t="s">
        <v>154</v>
      </c>
      <c r="B5" s="59"/>
    </row>
    <row r="6" customFormat="false" ht="14.25" hidden="false" customHeight="false" outlineLevel="0" collapsed="false">
      <c r="A6" s="32" t="s">
        <v>184</v>
      </c>
      <c r="B6" s="59"/>
    </row>
    <row r="7" customFormat="false" ht="14.25" hidden="false" customHeight="false" outlineLevel="0" collapsed="false">
      <c r="A7" s="32" t="s">
        <v>191</v>
      </c>
      <c r="B7" s="59"/>
    </row>
    <row r="8" customFormat="false" ht="14.25" hidden="false" customHeight="false" outlineLevel="0" collapsed="false">
      <c r="A8" s="32" t="s">
        <v>210</v>
      </c>
      <c r="B8" s="59"/>
    </row>
    <row r="9" customFormat="false" ht="14.25" hidden="false" customHeight="false" outlineLevel="0" collapsed="false">
      <c r="A9" s="32" t="s">
        <v>201</v>
      </c>
      <c r="B9" s="59"/>
    </row>
    <row r="10" customFormat="false" ht="14.25" hidden="false" customHeight="false" outlineLevel="0" collapsed="false">
      <c r="A10" s="32" t="s">
        <v>199</v>
      </c>
      <c r="B10" s="59"/>
    </row>
    <row r="11" customFormat="false" ht="14.25" hidden="false" customHeight="false" outlineLevel="0" collapsed="false">
      <c r="A11" s="32" t="s">
        <v>188</v>
      </c>
      <c r="B11" s="5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796875" defaultRowHeight="14.25" customHeight="true" zeroHeight="false" outlineLevelRow="0" outlineLevelCol="0"/>
  <cols>
    <col collapsed="false" customWidth="true" hidden="false" outlineLevel="0" max="1" min="1" style="60" width="14.19"/>
    <col collapsed="false" customWidth="true" hidden="false" outlineLevel="0" max="2" min="2" style="1" width="21.43"/>
  </cols>
  <sheetData>
    <row r="1" customFormat="false" ht="15" hidden="false" customHeight="false" outlineLevel="0" collapsed="false">
      <c r="A1" s="57" t="s">
        <v>131</v>
      </c>
      <c r="B1" s="58" t="s">
        <v>237</v>
      </c>
    </row>
    <row r="2" customFormat="false" ht="14.25" hidden="false" customHeight="false" outlineLevel="0" collapsed="false">
      <c r="A2" s="32" t="s">
        <v>144</v>
      </c>
      <c r="B2" s="59"/>
    </row>
    <row r="3" customFormat="false" ht="14.25" hidden="false" customHeight="false" outlineLevel="0" collapsed="false">
      <c r="A3" s="32" t="s">
        <v>156</v>
      </c>
      <c r="B3" s="59"/>
    </row>
    <row r="4" customFormat="false" ht="14.25" hidden="false" customHeight="false" outlineLevel="0" collapsed="false">
      <c r="A4" s="32" t="s">
        <v>162</v>
      </c>
      <c r="B4" s="59"/>
    </row>
    <row r="5" customFormat="false" ht="14.25" hidden="false" customHeight="false" outlineLevel="0" collapsed="false">
      <c r="A5" s="32" t="s">
        <v>167</v>
      </c>
      <c r="B5" s="59"/>
    </row>
    <row r="6" customFormat="false" ht="14.25" hidden="false" customHeight="false" outlineLevel="0" collapsed="false">
      <c r="A6" s="32" t="s">
        <v>174</v>
      </c>
      <c r="B6" s="5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796875" defaultRowHeight="14.25" customHeight="true" zeroHeight="false" outlineLevelRow="0" outlineLevelCol="0"/>
  <cols>
    <col collapsed="false" customWidth="true" hidden="false" outlineLevel="0" max="1" min="1" style="27" width="36.88"/>
  </cols>
  <sheetData>
    <row r="1" customFormat="false" ht="15" hidden="false" customHeight="false" outlineLevel="0" collapsed="false">
      <c r="A1" s="57" t="s">
        <v>239</v>
      </c>
    </row>
    <row r="2" customFormat="false" ht="14.25" hidden="false" customHeight="false" outlineLevel="0" collapsed="false">
      <c r="A2" s="43" t="s">
        <v>182</v>
      </c>
    </row>
    <row r="3" customFormat="false" ht="14.25" hidden="false" customHeight="false" outlineLevel="0" collapsed="false">
      <c r="A3" s="43" t="s">
        <v>192</v>
      </c>
    </row>
    <row r="4" customFormat="false" ht="14.25" hidden="false" customHeight="false" outlineLevel="0" collapsed="false">
      <c r="A4" s="43" t="s">
        <v>194</v>
      </c>
    </row>
    <row r="5" customFormat="false" ht="14.25" hidden="false" customHeight="false" outlineLevel="0" collapsed="false">
      <c r="A5" s="43" t="s">
        <v>185</v>
      </c>
    </row>
    <row r="6" customFormat="false" ht="14.25" hidden="false" customHeight="false" outlineLevel="0" collapsed="false">
      <c r="A6" s="43" t="s">
        <v>206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796875" defaultRowHeight="14.25" customHeight="true" zeroHeight="false" outlineLevelRow="0" outlineLevelCol="0"/>
  <cols>
    <col collapsed="false" customWidth="true" hidden="false" outlineLevel="0" max="1" min="1" style="27" width="27.82"/>
  </cols>
  <sheetData>
    <row r="1" customFormat="false" ht="15" hidden="false" customHeight="false" outlineLevel="0" collapsed="false">
      <c r="A1" s="57" t="s">
        <v>3</v>
      </c>
    </row>
    <row r="2" customFormat="false" ht="14.25" hidden="false" customHeight="false" outlineLevel="0" collapsed="false">
      <c r="A2" s="32" t="s">
        <v>106</v>
      </c>
    </row>
    <row r="3" customFormat="false" ht="14.25" hidden="false" customHeight="false" outlineLevel="0" collapsed="false">
      <c r="A3" s="32" t="s">
        <v>68</v>
      </c>
    </row>
    <row r="4" customFormat="false" ht="14.25" hidden="false" customHeight="false" outlineLevel="0" collapsed="false">
      <c r="A4" s="32" t="s">
        <v>65</v>
      </c>
    </row>
    <row r="5" customFormat="false" ht="14.25" hidden="false" customHeight="false" outlineLevel="0" collapsed="false">
      <c r="A5" s="32" t="s">
        <v>24</v>
      </c>
    </row>
    <row r="6" customFormat="false" ht="14.25" hidden="false" customHeight="false" outlineLevel="0" collapsed="false">
      <c r="A6" s="32" t="s">
        <v>74</v>
      </c>
    </row>
    <row r="7" customFormat="false" ht="14.25" hidden="false" customHeight="false" outlineLevel="0" collapsed="false">
      <c r="A7" s="32" t="s">
        <v>42</v>
      </c>
    </row>
    <row r="8" customFormat="false" ht="14.25" hidden="false" customHeight="false" outlineLevel="0" collapsed="false">
      <c r="A8" s="32" t="s">
        <v>48</v>
      </c>
    </row>
    <row r="9" customFormat="false" ht="14.25" hidden="false" customHeight="false" outlineLevel="0" collapsed="false">
      <c r="A9" s="32" t="s">
        <v>108</v>
      </c>
    </row>
    <row r="10" customFormat="false" ht="14.25" hidden="false" customHeight="false" outlineLevel="0" collapsed="false">
      <c r="A10" s="32" t="s">
        <v>50</v>
      </c>
    </row>
    <row r="11" customFormat="false" ht="14.25" hidden="false" customHeight="false" outlineLevel="0" collapsed="false">
      <c r="A11" s="32" t="s">
        <v>41</v>
      </c>
    </row>
    <row r="12" customFormat="false" ht="14.25" hidden="false" customHeight="false" outlineLevel="0" collapsed="false">
      <c r="A12" s="32" t="s">
        <v>122</v>
      </c>
    </row>
    <row r="13" customFormat="false" ht="14.25" hidden="false" customHeight="false" outlineLevel="0" collapsed="false">
      <c r="A13" s="32" t="s">
        <v>75</v>
      </c>
    </row>
    <row r="14" customFormat="false" ht="14.25" hidden="false" customHeight="false" outlineLevel="0" collapsed="false">
      <c r="A14" s="32" t="s">
        <v>47</v>
      </c>
    </row>
    <row r="15" customFormat="false" ht="14.25" hidden="false" customHeight="false" outlineLevel="0" collapsed="false">
      <c r="A15" s="32" t="s">
        <v>49</v>
      </c>
    </row>
    <row r="16" customFormat="false" ht="14.25" hidden="false" customHeight="false" outlineLevel="0" collapsed="false">
      <c r="A16" s="32" t="s">
        <v>66</v>
      </c>
    </row>
    <row r="17" customFormat="false" ht="14.25" hidden="false" customHeight="false" outlineLevel="0" collapsed="false">
      <c r="A17" s="32" t="s">
        <v>76</v>
      </c>
    </row>
    <row r="18" customFormat="false" ht="14.25" hidden="false" customHeight="false" outlineLevel="0" collapsed="false">
      <c r="A18" s="32" t="s">
        <v>97</v>
      </c>
    </row>
    <row r="19" customFormat="false" ht="14.25" hidden="false" customHeight="false" outlineLevel="0" collapsed="false">
      <c r="A19" s="32" t="s">
        <v>77</v>
      </c>
    </row>
    <row r="20" customFormat="false" ht="14.25" hidden="false" customHeight="false" outlineLevel="0" collapsed="false">
      <c r="A20" s="32" t="s">
        <v>111</v>
      </c>
    </row>
    <row r="21" customFormat="false" ht="14.25" hidden="false" customHeight="false" outlineLevel="0" collapsed="false">
      <c r="A21" s="32" t="s">
        <v>78</v>
      </c>
    </row>
    <row r="22" customFormat="false" ht="14.25" hidden="false" customHeight="false" outlineLevel="0" collapsed="false">
      <c r="A22" s="32" t="s">
        <v>112</v>
      </c>
    </row>
    <row r="23" customFormat="false" ht="14.25" hidden="false" customHeight="false" outlineLevel="0" collapsed="false">
      <c r="A23" s="32" t="s">
        <v>34</v>
      </c>
    </row>
    <row r="24" customFormat="false" ht="14.25" hidden="false" customHeight="false" outlineLevel="0" collapsed="false">
      <c r="A24" s="32" t="s">
        <v>99</v>
      </c>
    </row>
    <row r="25" customFormat="false" ht="14.25" hidden="false" customHeight="false" outlineLevel="0" collapsed="false">
      <c r="A25" s="32" t="s">
        <v>25</v>
      </c>
    </row>
    <row r="26" customFormat="false" ht="14.25" hidden="false" customHeight="false" outlineLevel="0" collapsed="false">
      <c r="A26" s="32" t="s">
        <v>36</v>
      </c>
    </row>
    <row r="27" customFormat="false" ht="14.25" hidden="false" customHeight="false" outlineLevel="0" collapsed="false">
      <c r="A27" s="32" t="s">
        <v>33</v>
      </c>
    </row>
    <row r="28" customFormat="false" ht="14.25" hidden="false" customHeight="false" outlineLevel="0" collapsed="false">
      <c r="A28" s="32" t="s">
        <v>32</v>
      </c>
    </row>
    <row r="29" customFormat="false" ht="14.25" hidden="false" customHeight="false" outlineLevel="0" collapsed="false">
      <c r="A29" s="32" t="s">
        <v>31</v>
      </c>
    </row>
    <row r="30" customFormat="false" ht="14.25" hidden="false" customHeight="false" outlineLevel="0" collapsed="false">
      <c r="A30" s="32" t="s">
        <v>45</v>
      </c>
    </row>
    <row r="31" customFormat="false" ht="14.25" hidden="false" customHeight="false" outlineLevel="0" collapsed="false">
      <c r="A31" s="32" t="s">
        <v>38</v>
      </c>
    </row>
    <row r="32" customFormat="false" ht="14.25" hidden="false" customHeight="false" outlineLevel="0" collapsed="false">
      <c r="A32" s="32" t="s">
        <v>46</v>
      </c>
    </row>
    <row r="33" customFormat="false" ht="14.25" hidden="false" customHeight="false" outlineLevel="0" collapsed="false">
      <c r="A33" s="32" t="s">
        <v>115</v>
      </c>
    </row>
    <row r="34" customFormat="false" ht="14.25" hidden="false" customHeight="false" outlineLevel="0" collapsed="false">
      <c r="A34" s="32" t="s">
        <v>62</v>
      </c>
    </row>
    <row r="35" customFormat="false" ht="14.25" hidden="false" customHeight="false" outlineLevel="0" collapsed="false">
      <c r="A35" s="32" t="s">
        <v>117</v>
      </c>
    </row>
    <row r="36" customFormat="false" ht="14.25" hidden="false" customHeight="false" outlineLevel="0" collapsed="false">
      <c r="A36" s="32" t="s">
        <v>73</v>
      </c>
    </row>
    <row r="37" customFormat="false" ht="14.25" hidden="false" customHeight="false" outlineLevel="0" collapsed="false">
      <c r="A37" s="32" t="s">
        <v>113</v>
      </c>
    </row>
    <row r="38" customFormat="false" ht="14.25" hidden="false" customHeight="false" outlineLevel="0" collapsed="false">
      <c r="A38" s="32" t="s">
        <v>27</v>
      </c>
    </row>
    <row r="39" customFormat="false" ht="14.25" hidden="false" customHeight="false" outlineLevel="0" collapsed="false">
      <c r="A39" s="32" t="s">
        <v>9</v>
      </c>
    </row>
    <row r="40" customFormat="false" ht="14.25" hidden="false" customHeight="false" outlineLevel="0" collapsed="false">
      <c r="A40" s="32" t="s">
        <v>110</v>
      </c>
    </row>
    <row r="41" customFormat="false" ht="14.25" hidden="false" customHeight="false" outlineLevel="0" collapsed="false">
      <c r="A41" s="32" t="s">
        <v>44</v>
      </c>
    </row>
    <row r="42" customFormat="false" ht="14.25" hidden="false" customHeight="false" outlineLevel="0" collapsed="false">
      <c r="A42" s="32" t="s">
        <v>240</v>
      </c>
    </row>
    <row r="43" customFormat="false" ht="14.25" hidden="false" customHeight="false" outlineLevel="0" collapsed="false">
      <c r="A43" s="32" t="s">
        <v>10</v>
      </c>
    </row>
    <row r="44" customFormat="false" ht="14.25" hidden="false" customHeight="false" outlineLevel="0" collapsed="false">
      <c r="A44" s="32" t="s">
        <v>70</v>
      </c>
    </row>
    <row r="45" customFormat="false" ht="14.25" hidden="false" customHeight="false" outlineLevel="0" collapsed="false">
      <c r="A45" s="32" t="s">
        <v>80</v>
      </c>
    </row>
    <row r="46" customFormat="false" ht="14.25" hidden="false" customHeight="false" outlineLevel="0" collapsed="false">
      <c r="A46" s="32" t="s">
        <v>72</v>
      </c>
    </row>
    <row r="47" customFormat="false" ht="14.25" hidden="false" customHeight="false" outlineLevel="0" collapsed="false">
      <c r="A47" s="32" t="s">
        <v>43</v>
      </c>
    </row>
    <row r="48" customFormat="false" ht="14.25" hidden="false" customHeight="false" outlineLevel="0" collapsed="false">
      <c r="A48" s="32" t="s">
        <v>71</v>
      </c>
    </row>
    <row r="49" customFormat="false" ht="14.25" hidden="false" customHeight="false" outlineLevel="0" collapsed="false">
      <c r="A49" s="32" t="s">
        <v>11</v>
      </c>
    </row>
    <row r="50" customFormat="false" ht="14.25" hidden="false" customHeight="false" outlineLevel="0" collapsed="false">
      <c r="A50" s="32" t="s">
        <v>127</v>
      </c>
    </row>
    <row r="51" customFormat="false" ht="14.25" hidden="false" customHeight="false" outlineLevel="0" collapsed="false">
      <c r="A51" s="32" t="s">
        <v>79</v>
      </c>
    </row>
    <row r="52" customFormat="false" ht="14.25" hidden="false" customHeight="false" outlineLevel="0" collapsed="false">
      <c r="A52" s="32" t="s">
        <v>120</v>
      </c>
    </row>
    <row r="53" customFormat="false" ht="14.25" hidden="false" customHeight="false" outlineLevel="0" collapsed="false">
      <c r="A53" s="32" t="s">
        <v>125</v>
      </c>
    </row>
    <row r="54" customFormat="false" ht="14.25" hidden="false" customHeight="false" outlineLevel="0" collapsed="false">
      <c r="A54" s="32" t="s">
        <v>63</v>
      </c>
    </row>
    <row r="55" customFormat="false" ht="14.25" hidden="false" customHeight="false" outlineLevel="0" collapsed="false">
      <c r="A55" s="32" t="s">
        <v>101</v>
      </c>
    </row>
    <row r="56" customFormat="false" ht="14.25" hidden="false" customHeight="false" outlineLevel="0" collapsed="false">
      <c r="A56" s="32" t="s">
        <v>67</v>
      </c>
    </row>
    <row r="57" customFormat="false" ht="14.25" hidden="false" customHeight="false" outlineLevel="0" collapsed="false">
      <c r="A57" s="32" t="s">
        <v>12</v>
      </c>
    </row>
    <row r="58" customFormat="false" ht="14.25" hidden="false" customHeight="false" outlineLevel="0" collapsed="false">
      <c r="A58" s="32" t="s">
        <v>28</v>
      </c>
    </row>
    <row r="59" customFormat="false" ht="14.25" hidden="false" customHeight="false" outlineLevel="0" collapsed="false">
      <c r="A59" s="32" t="s">
        <v>124</v>
      </c>
    </row>
    <row r="60" customFormat="false" ht="14.25" hidden="false" customHeight="false" outlineLevel="0" collapsed="false">
      <c r="A60" s="32" t="s">
        <v>119</v>
      </c>
    </row>
    <row r="61" customFormat="false" ht="14.25" hidden="false" customHeight="false" outlineLevel="0" collapsed="false">
      <c r="A61" s="32" t="s">
        <v>13</v>
      </c>
    </row>
    <row r="62" customFormat="false" ht="14.25" hidden="false" customHeight="false" outlineLevel="0" collapsed="false">
      <c r="A62" s="32" t="s">
        <v>22</v>
      </c>
    </row>
    <row r="63" customFormat="false" ht="14.25" hidden="false" customHeight="false" outlineLevel="0" collapsed="false">
      <c r="A63" s="32" t="s">
        <v>39</v>
      </c>
    </row>
    <row r="64" customFormat="false" ht="14.25" hidden="false" customHeight="false" outlineLevel="0" collapsed="false">
      <c r="A64" s="32" t="s">
        <v>118</v>
      </c>
    </row>
    <row r="65" customFormat="false" ht="14.25" hidden="false" customHeight="false" outlineLevel="0" collapsed="false">
      <c r="A65" s="32" t="s">
        <v>30</v>
      </c>
    </row>
    <row r="66" customFormat="false" ht="14.25" hidden="false" customHeight="false" outlineLevel="0" collapsed="false">
      <c r="A66" s="32" t="s">
        <v>82</v>
      </c>
    </row>
    <row r="67" customFormat="false" ht="14.25" hidden="false" customHeight="false" outlineLevel="0" collapsed="false">
      <c r="A67" s="32" t="s">
        <v>26</v>
      </c>
    </row>
    <row r="68" customFormat="false" ht="14.25" hidden="false" customHeight="false" outlineLevel="0" collapsed="false">
      <c r="A68" s="32" t="s">
        <v>123</v>
      </c>
    </row>
    <row r="69" customFormat="false" ht="14.25" hidden="false" customHeight="false" outlineLevel="0" collapsed="false">
      <c r="A69" s="32" t="s">
        <v>60</v>
      </c>
    </row>
    <row r="70" customFormat="false" ht="14.25" hidden="false" customHeight="false" outlineLevel="0" collapsed="false">
      <c r="A70" s="32" t="s">
        <v>58</v>
      </c>
    </row>
    <row r="71" customFormat="false" ht="14.25" hidden="false" customHeight="false" outlineLevel="0" collapsed="false">
      <c r="A71" s="32" t="s">
        <v>104</v>
      </c>
    </row>
    <row r="72" customFormat="false" ht="14.25" hidden="false" customHeight="false" outlineLevel="0" collapsed="false">
      <c r="A72" s="32" t="s">
        <v>93</v>
      </c>
    </row>
    <row r="73" customFormat="false" ht="14.25" hidden="false" customHeight="false" outlineLevel="0" collapsed="false">
      <c r="A73" s="32" t="s">
        <v>23</v>
      </c>
    </row>
    <row r="74" customFormat="false" ht="14.25" hidden="false" customHeight="false" outlineLevel="0" collapsed="false">
      <c r="A74" s="32" t="s">
        <v>51</v>
      </c>
    </row>
    <row r="75" customFormat="false" ht="14.25" hidden="false" customHeight="false" outlineLevel="0" collapsed="false">
      <c r="A75" s="32" t="s">
        <v>19</v>
      </c>
    </row>
    <row r="76" customFormat="false" ht="14.25" hidden="false" customHeight="false" outlineLevel="0" collapsed="false">
      <c r="A76" s="32" t="s">
        <v>126</v>
      </c>
    </row>
    <row r="77" customFormat="false" ht="14.25" hidden="false" customHeight="false" outlineLevel="0" collapsed="false">
      <c r="A77" s="32" t="s">
        <v>54</v>
      </c>
    </row>
    <row r="78" customFormat="false" ht="14.25" hidden="false" customHeight="false" outlineLevel="0" collapsed="false">
      <c r="A78" s="32" t="s">
        <v>56</v>
      </c>
    </row>
    <row r="79" customFormat="false" ht="14.25" hidden="false" customHeight="false" outlineLevel="0" collapsed="false">
      <c r="A79" s="32" t="s">
        <v>83</v>
      </c>
    </row>
    <row r="80" customFormat="false" ht="14.25" hidden="false" customHeight="false" outlineLevel="0" collapsed="false">
      <c r="A80" s="32" t="s">
        <v>37</v>
      </c>
    </row>
    <row r="81" customFormat="false" ht="14.25" hidden="false" customHeight="false" outlineLevel="0" collapsed="false">
      <c r="A81" s="32" t="s">
        <v>61</v>
      </c>
    </row>
    <row r="82" customFormat="false" ht="14.25" hidden="false" customHeight="false" outlineLevel="0" collapsed="false">
      <c r="A82" s="32" t="s">
        <v>21</v>
      </c>
    </row>
    <row r="83" customFormat="false" ht="14.25" hidden="false" customHeight="false" outlineLevel="0" collapsed="false">
      <c r="A83" s="32" t="s">
        <v>18</v>
      </c>
    </row>
    <row r="84" customFormat="false" ht="14.25" hidden="false" customHeight="false" outlineLevel="0" collapsed="false">
      <c r="A84" s="32" t="s">
        <v>87</v>
      </c>
    </row>
    <row r="85" customFormat="false" ht="14.25" hidden="false" customHeight="false" outlineLevel="0" collapsed="false">
      <c r="A85" s="32" t="s">
        <v>89</v>
      </c>
    </row>
    <row r="86" customFormat="false" ht="14.25" hidden="false" customHeight="false" outlineLevel="0" collapsed="false">
      <c r="A86" s="32" t="s">
        <v>91</v>
      </c>
    </row>
    <row r="87" customFormat="false" ht="14.25" hidden="false" customHeight="false" outlineLevel="0" collapsed="false">
      <c r="A87" s="32" t="s">
        <v>52</v>
      </c>
    </row>
    <row r="88" customFormat="false" ht="14.25" hidden="false" customHeight="false" outlineLevel="0" collapsed="false">
      <c r="A88" s="32" t="s">
        <v>14</v>
      </c>
    </row>
    <row r="89" customFormat="false" ht="14.25" hidden="false" customHeight="false" outlineLevel="0" collapsed="false">
      <c r="A89" s="32" t="s">
        <v>59</v>
      </c>
    </row>
    <row r="90" customFormat="false" ht="14.25" hidden="false" customHeight="false" outlineLevel="0" collapsed="false">
      <c r="A90" s="32" t="s">
        <v>15</v>
      </c>
    </row>
    <row r="91" customFormat="false" ht="14.25" hidden="false" customHeight="false" outlineLevel="0" collapsed="false">
      <c r="A91" s="32" t="s">
        <v>85</v>
      </c>
    </row>
    <row r="92" customFormat="false" ht="14.25" hidden="false" customHeight="false" outlineLevel="0" collapsed="false">
      <c r="A92" s="32" t="s">
        <v>35</v>
      </c>
    </row>
    <row r="93" customFormat="false" ht="14.25" hidden="false" customHeight="false" outlineLevel="0" collapsed="false">
      <c r="A93" s="32" t="s">
        <v>16</v>
      </c>
    </row>
    <row r="94" customFormat="false" ht="14.25" hidden="false" customHeight="false" outlineLevel="0" collapsed="false">
      <c r="A94" s="32" t="s">
        <v>17</v>
      </c>
    </row>
    <row r="95" customFormat="false" ht="14.25" hidden="false" customHeight="false" outlineLevel="0" collapsed="false">
      <c r="A95" s="32" t="s">
        <v>114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796875" defaultRowHeight="14.25" customHeight="true" zeroHeight="false" outlineLevelRow="0" outlineLevelCol="0"/>
  <cols>
    <col collapsed="false" customWidth="false" hidden="false" outlineLevel="0" max="1" min="1" style="27" width="10.66"/>
  </cols>
  <sheetData>
    <row r="1" customFormat="false" ht="15" hidden="false" customHeight="false" outlineLevel="0" collapsed="false">
      <c r="A1" s="57" t="s">
        <v>130</v>
      </c>
    </row>
    <row r="2" customFormat="false" ht="14.25" hidden="false" customHeight="false" outlineLevel="0" collapsed="false">
      <c r="A2" s="32" t="s">
        <v>143</v>
      </c>
    </row>
    <row r="3" customFormat="false" ht="14.25" hidden="false" customHeight="false" outlineLevel="0" collapsed="false">
      <c r="A3" s="32" t="s">
        <v>241</v>
      </c>
    </row>
    <row r="4" customFormat="false" ht="14.25" hidden="false" customHeight="false" outlineLevel="0" collapsed="false">
      <c r="A4" s="32" t="s">
        <v>242</v>
      </c>
    </row>
    <row r="5" customFormat="false" ht="14.25" hidden="false" customHeight="false" outlineLevel="0" collapsed="false">
      <c r="A5" s="61" t="s">
        <v>243</v>
      </c>
    </row>
    <row r="6" customFormat="false" ht="14.25" hidden="false" customHeight="true" outlineLevel="0" collapsed="false">
      <c r="A6" s="32"/>
    </row>
    <row r="7" customFormat="false" ht="14.25" hidden="false" customHeight="true" outlineLevel="0" collapsed="false">
      <c r="A7" s="32"/>
    </row>
    <row r="8" customFormat="false" ht="14.25" hidden="false" customHeight="true" outlineLevel="0" collapsed="false">
      <c r="A8" s="32"/>
    </row>
    <row r="9" customFormat="false" ht="14.25" hidden="false" customHeight="true" outlineLevel="0" collapsed="false">
      <c r="A9" s="32"/>
    </row>
    <row r="10" customFormat="false" ht="14.25" hidden="false" customHeight="true" outlineLevel="0" collapsed="false">
      <c r="A10" s="3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27" width="29.91"/>
  </cols>
  <sheetData>
    <row r="1" customFormat="false" ht="15" hidden="false" customHeight="false" outlineLevel="0" collapsed="false">
      <c r="A1" s="57" t="s">
        <v>244</v>
      </c>
    </row>
    <row r="2" customFormat="false" ht="12.65" hidden="false" customHeight="false" outlineLevel="0" collapsed="false">
      <c r="A2" s="62" t="s">
        <v>245</v>
      </c>
    </row>
    <row r="3" customFormat="false" ht="13.8" hidden="false" customHeight="false" outlineLevel="0" collapsed="false">
      <c r="A3" s="32"/>
    </row>
  </sheetData>
  <hyperlinks>
    <hyperlink ref="A2" r:id="rId1" display="qgil@euromadi.es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1" activeCellId="0" sqref="M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7.8"/>
    <col collapsed="false" customWidth="true" hidden="false" outlineLevel="0" max="3" min="2" style="1" width="15.3"/>
    <col collapsed="false" customWidth="true" hidden="false" outlineLevel="0" max="5" min="5" style="1" width="13.07"/>
    <col collapsed="false" customWidth="true" hidden="false" outlineLevel="0" max="6" min="6" style="1" width="12.51"/>
    <col collapsed="false" customWidth="true" hidden="false" outlineLevel="0" max="7" min="7" style="1" width="17.39"/>
    <col collapsed="false" customWidth="true" hidden="false" outlineLevel="0" max="8" min="8" style="1" width="22.81"/>
    <col collapsed="false" customWidth="true" hidden="false" outlineLevel="0" max="9" min="9" style="1" width="27.13"/>
    <col collapsed="false" customWidth="true" hidden="false" outlineLevel="0" max="10" min="10" style="1" width="24.9"/>
    <col collapsed="false" customWidth="false" hidden="false" outlineLevel="0" max="12" min="11" style="1" width="11.53"/>
  </cols>
  <sheetData>
    <row r="1" s="58" customFormat="true" ht="15" hidden="false" customHeight="false" outlineLevel="0" collapsed="false">
      <c r="A1" s="58" t="s">
        <v>246</v>
      </c>
      <c r="B1" s="63" t="s">
        <v>247</v>
      </c>
      <c r="C1" s="58" t="s">
        <v>248</v>
      </c>
      <c r="D1" s="58" t="s">
        <v>231</v>
      </c>
      <c r="E1" s="58" t="s">
        <v>130</v>
      </c>
      <c r="F1" s="58" t="s">
        <v>131</v>
      </c>
      <c r="G1" s="58" t="s">
        <v>232</v>
      </c>
      <c r="H1" s="58" t="s">
        <v>139</v>
      </c>
      <c r="I1" s="58" t="s">
        <v>142</v>
      </c>
      <c r="J1" s="58" t="s">
        <v>249</v>
      </c>
      <c r="M1" s="1"/>
      <c r="N1" s="1"/>
      <c r="O1" s="1"/>
      <c r="P1" s="1"/>
      <c r="Q1" s="1"/>
      <c r="R1" s="1"/>
      <c r="S1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1" min="1" style="27" width="11.53"/>
  </cols>
  <sheetData>
    <row r="1" s="41" customFormat="true" ht="15" hidden="false" customHeight="false" outlineLevel="0" collapsed="false">
      <c r="A1" s="64" t="s">
        <v>250</v>
      </c>
    </row>
    <row r="2" s="26" customFormat="true" ht="13.8" hidden="false" customHeight="false" outlineLevel="0" collapsed="false">
      <c r="A2" s="27" t="n">
        <v>365</v>
      </c>
    </row>
    <row r="3" s="26" customFormat="true" ht="12.8" hidden="false" customHeight="true" outlineLevel="0" collapsed="false">
      <c r="A3" s="27" t="n">
        <v>180</v>
      </c>
    </row>
    <row r="4" s="26" customFormat="true" ht="12.8" hidden="false" customHeight="true" outlineLevel="0" collapsed="false">
      <c r="A4" s="27" t="n">
        <v>90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58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Ruben Masip</dc:creator>
  <dc:description/>
  <dc:language>ca-ES</dc:language>
  <cp:lastModifiedBy/>
  <dcterms:modified xsi:type="dcterms:W3CDTF">2026-05-02T20:34:16Z</dcterms:modified>
  <cp:revision>34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