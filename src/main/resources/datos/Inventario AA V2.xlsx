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ESTADO" sheetId="7" state="visible" r:id="rId9"/>
    <sheet name="PARAM_MARCAS" sheetId="8" state="visible" r:id="rId10"/>
    <sheet name="PARAM_MODELOS_CAS" sheetId="9" state="visible" r:id="rId11"/>
    <sheet name="PARAM_MODELOS_COND" sheetId="10" state="visible" r:id="rId12"/>
    <sheet name="PARAM_PLANTAS" sheetId="11" state="visible" r:id="rId13"/>
    <sheet name="PARAM_LOC_COND" sheetId="12" state="visible" r:id="rId14"/>
  </sheets>
  <definedNames>
    <definedName function="false" hidden="true" localSheetId="1" name="_xlnm._FilterDatabase" vbProcedure="false">Cassette!$B$2:$M$125</definedName>
    <definedName function="false" hidden="true" localSheetId="2" name="_xlnm._FilterDatabase" vbProcedure="false">Condensadoras!$A$1:$I$33</definedName>
    <definedName function="false" hidden="true" localSheetId="6" name="_xlnm._FilterDatabase" vbProcedure="false">PARAM_ESTADO!$A$1:$A$3</definedName>
  </definedNames>
  <calcPr iterateCount="100" refMode="A1" iterate="false" iterateDelta="0.0001"/>
  <pivotCaches>
    <pivotCache cacheId="1" r:id="rId16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<sst xmlns="http://schemas.openxmlformats.org/spreadsheetml/2006/main" count="1059" uniqueCount="233">
  <si>
    <t xml:space="preserve">Cuenta de Planta</t>
  </si>
  <si>
    <t xml:space="preserve">GAS</t>
  </si>
  <si>
    <t xml:space="preserve">CONDENSADORA</t>
  </si>
  <si>
    <t xml:space="preserve">Planta</t>
  </si>
  <si>
    <t xml:space="preserve">NOMBRE</t>
  </si>
  <si>
    <t xml:space="preserve">(vacío)</t>
  </si>
  <si>
    <t xml:space="preserve">Total Resultado</t>
  </si>
  <si>
    <t xml:space="preserve">A</t>
  </si>
  <si>
    <t xml:space="preserve">4 Planta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</si>
  <si>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</si>
  <si>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</si>
  <si>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</si>
  <si>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</si>
  <si>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</si>
  <si>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</si>
  <si>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</si>
  <si>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</si>
  <si>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</si>
  <si>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</si>
  <si>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</si>
  <si>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</si>
  <si>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3 Planta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</si>
  <si>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</si>
  <si>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</si>
  <si>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</si>
  <si>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</si>
  <si>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</si>
  <si>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</si>
  <si>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</si>
  <si>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</si>
  <si>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</si>
  <si>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</si>
  <si>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</si>
  <si>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</si>
  <si>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</si>
  <si>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</si>
  <si>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</si>
  <si>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</si>
  <si>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</si>
  <si>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</si>
  <si>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</si>
  <si>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</si>
  <si>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2 Planta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</si>
  <si>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</si>
  <si>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</si>
  <si>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</si>
  <si>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</si>
  <si>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</si>
  <si>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</si>
  <si>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</si>
  <si>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</si>
  <si>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</si>
  <si>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</si>
  <si>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</si>
  <si>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</si>
  <si>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</si>
  <si>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</si>
  <si>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</si>
  <si>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</si>
  <si>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</si>
  <si>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Planta Baja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</si>
  <si>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</si>
  <si>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</si>
  <si>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</si>
  <si>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</si>
  <si>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</si>
  <si>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</si>
  <si>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</si>
  <si>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1 Planta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</si>
  <si>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</si>
  <si>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</si>
  <si>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</si>
  <si>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</si>
  <si>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</si>
  <si>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</si>
  <si>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</si>
  <si>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</si>
  <si>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</si>
  <si>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</si>
  <si>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</si>
  <si>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</si>
  <si>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Laura Serra</t>
  </si>
  <si>
    <t xml:space="preserve">Jose Roldán</t>
  </si>
  <si>
    <t xml:space="preserve">Comedor 1</t>
  </si>
  <si>
    <t xml:space="preserve">Comedor 2 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</si>
  <si>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</si>
  <si>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</si>
  <si>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</si>
  <si>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</si>
  <si>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</si>
  <si>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</si>
  <si>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</si>
  <si>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</si>
  <si>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</si>
  <si>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</si>
  <si>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</si>
  <si>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</si>
  <si>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</si>
  <si>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</si>
  <si>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 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</si>
  <si>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</si>
  <si>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</si>
  <si>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</si>
  <si>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</si>
  <si>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</si>
  <si>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</si>
  <si>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</si>
  <si>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</si>
  <si>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</si>
  <si>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</si>
  <si>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</si>
  <si>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</si>
  <si>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</si>
  <si>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</si>
  <si>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Yolanda Romo</t>
  </si>
  <si>
    <t xml:space="preserve">Jaume Font Pared</t>
  </si>
  <si>
    <t xml:space="preserve">Esther Quintela</t>
  </si>
  <si>
    <t xml:space="preserve">Firmadora</t>
  </si>
  <si>
    <t xml:space="preserve">Comedor 1 - entrando derecha</t>
  </si>
  <si>
    <t xml:space="preserve">Comedor 2 - entrando derecha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</si>
  <si>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</si>
  <si>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</si>
  <si>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</si>
  <si>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</si>
  <si>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</si>
  <si>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</si>
  <si>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</si>
  <si>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</si>
  <si>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</si>
  <si>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</si>
  <si>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</si>
  <si>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Raul/Malala</t>
  </si>
  <si>
    <t xml:space="preserve">Actualizado: 07 octubre 2025</t>
  </si>
  <si>
    <t xml:space="preserve">NUM_CASSETTE</t>
  </si>
  <si>
    <t xml:space="preserve">NUM_SECUENCIA</t>
  </si>
  <si>
    <t xml:space="preserve">ESTADO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</si>
  <si>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</si>
  <si>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</si>
  <si>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</si>
  <si>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</si>
  <si>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</si>
  <si>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</si>
  <si>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FECHA_REVISION</t>
  </si>
  <si>
    <t xml:space="preserve">AVERIA</t>
  </si>
  <si>
    <t xml:space="preserve">FOTO</t>
  </si>
  <si>
    <t xml:space="preserve">ACTIVA</t>
  </si>
  <si>
    <t xml:space="preserve">posible fecha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</si>
  <si>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</si>
  <si>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</si>
  <si>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</si>
  <si>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</si>
  <si>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</si>
  <si>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</si>
  <si>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</si>
  <si>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</si>
  <si>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</si>
  <si>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</si>
  <si>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PURY-P300YNWa2</t>
  </si>
  <si>
    <t xml:space="preserve">F2</t>
  </si>
  <si>
    <t xml:space="preserve">F7</t>
  </si>
  <si>
    <t xml:space="preserve">F8</t>
  </si>
  <si>
    <t xml:space="preserve">F5</t>
  </si>
  <si>
    <t xml:space="preserve">F6</t>
  </si>
  <si>
    <t xml:space="preserve">F1</t>
  </si>
  <si>
    <t xml:space="preserve">F3</t>
  </si>
  <si>
    <t xml:space="preserve">F4</t>
  </si>
  <si>
    <t xml:space="preserve">F18</t>
  </si>
  <si>
    <t xml:space="preserve">F16</t>
  </si>
  <si>
    <t xml:space="preserve">F17</t>
  </si>
  <si>
    <t xml:space="preserve">Condensadora F - Linea Azul</t>
  </si>
  <si>
    <t xml:space="preserve">Condendadora E - Linea Roja</t>
  </si>
  <si>
    <t xml:space="preserve">Condensadora D - Linea Amarilla</t>
  </si>
  <si>
    <t xml:space="preserve">Marca</t>
  </si>
  <si>
    <t xml:space="preserve">Model</t>
  </si>
  <si>
    <t xml:space="preserve">NUM_SERIE_COND</t>
  </si>
  <si>
    <t xml:space="preserve">FECHA_INSTALACION</t>
  </si>
  <si>
    <t xml:space="preserve">OBSERVACIONES</t>
  </si>
  <si>
    <t xml:space="preserve">ACTIVO</t>
  </si>
  <si>
    <t xml:space="preserve">MITSUBISHI</t>
  </si>
  <si>
    <t xml:space="preserve">Azotea - Detrás</t>
  </si>
  <si>
    <t xml:space="preserve">R-410A</t>
  </si>
  <si>
    <t xml:space="preserve">Posible fecha sin verificar</t>
  </si>
  <si>
    <t xml:space="preserve">PURY-P300YNW-A</t>
  </si>
  <si>
    <t xml:space="preserve">Azotea-Otra Porteria</t>
  </si>
  <si>
    <t xml:space="preserve">SUZ-SM71VA</t>
  </si>
  <si>
    <t xml:space="preserve">R-32</t>
  </si>
  <si>
    <t xml:space="preserve">D</t>
  </si>
  <si>
    <t xml:space="preserve">R-407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</si>
  <si>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</si>
  <si>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</si>
  <si>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</si>
  <si>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</si>
  <si>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</si>
  <si>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</si>
  <si>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</si>
  <si>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BAJA</t>
  </si>
  <si>
    <t xml:space="preserve">PUHZ-RP140YKA</t>
  </si>
  <si>
    <t xml:space="preserve">SUZ-M50VA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</si>
  <si>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</si>
  <si>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</si>
  <si>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</si>
  <si>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</si>
  <si>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</si>
  <si>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</si>
  <si>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R</t>
  </si>
  <si>
    <t xml:space="preserve">SUZ-KA60VA2</t>
  </si>
  <si>
    <t xml:space="preserve">KA35VA6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</si>
  <si>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</si>
  <si>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</si>
  <si>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</si>
  <si>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</si>
  <si>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</si>
  <si>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</si>
  <si>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</si>
  <si>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</si>
  <si>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</si>
  <si>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</si>
  <si>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</si>
  <si>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</si>
  <si>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</si>
  <si>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</si>
  <si>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</si>
  <si>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</si>
  <si>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</si>
  <si>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PLANTA</t>
  </si>
  <si>
    <t xml:space="preserve">LOCALIZACION</t>
  </si>
  <si>
    <t xml:space="preserve">FECHA_AVERIA</t>
  </si>
  <si>
    <t xml:space="preserve">MAIL_ENVIADO</t>
  </si>
  <si>
    <t xml:space="preserve">DESCRIPCION</t>
  </si>
  <si>
    <t xml:space="preserve">MARCA</t>
  </si>
  <si>
    <t xml:space="preserve">TOSHIBA</t>
  </si>
  <si>
    <t xml:space="preserve">MODELO</t>
  </si>
  <si>
    <t xml:space="preserve">LOCALIZACION_CONDENSADORA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</si>
</sst>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59040</xdr:colOff>
      <xdr:row>31</xdr:row>
      <xdr:rowOff>91800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7560" cy="4092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27" createdVersion="3">
  <cacheSource type="worksheet">
    <worksheetSource ref="B2:N1300" sheet="Cassette"/>
  </cacheSource>
  <cacheFields count="13">
    <cacheField name="NUM_CASSETTE" numFmtId="0">
      <sharedItems containsBlank="1" containsMixedTypes="1" containsNumber="1" containsInteger="1" minValue="1" maxValue="49" count="7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Condendadora E - Linea Roja"/>
        <s v="Condensadora D - Linea Amarilla"/>
        <s v="Condensadora F - Linea Azul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 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ntainsMixedTypes="1" containsNumber="1" containsInteger="1" minValue="0" maxValue="0" count="13">
        <n v="0"/>
        <s v=""/>
        <s v="KA35VA6"/>
        <s v="PUHZ-RP140YKA"/>
        <s v="PUMY-P300YBM"/>
        <s v="PUMY-P300YBM2"/>
        <s v="PURY-P300YNW-A"/>
        <s v="SUZ-KA50VA"/>
        <s v="SUZ-KA60VA2"/>
        <s v="SUZ-M35VA"/>
        <s v="SUZ-M50VA"/>
        <s v="SUZ-SM71VA"/>
        <m/>
      </sharedItems>
    </cacheField>
    <cacheField name="GAS" numFmtId="0">
      <sharedItems containsBlank="1" containsMixedTypes="1" containsNumber="1" containsInteger="1" minValue="0" maxValue="0" count="3">
        <n v="0"/>
        <s v=""/>
        <m/>
      </sharedItems>
    </cacheField>
    <cacheField name="fecha_instalacion" numFmtId="0">
      <sharedItems containsDate="1" containsBlank="1" containsMixedTypes="1" minDate="2006-01-01T00:00:00" maxDate="2020-01-01T00:00:00" count="11">
        <d v="2006-01-01T00:00:00"/>
        <d v="2007-01-01T00:00:00"/>
        <d v="2012-01-01T00:00:00"/>
        <d v="2015-01-01T00:00:00"/>
        <d v="2020-01-01T00:00:00"/>
        <s v=""/>
        <s v="Azotea - Detrás"/>
        <s v="Azotea - Frente"/>
        <s v="Azotea-Detrás"/>
        <s v="Patio Oliver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7">
  <r>
    <x v="13"/>
    <x v="0"/>
    <x v="0"/>
    <x v="0"/>
    <x v="2"/>
    <x v="2"/>
    <x v="1"/>
    <x v="2"/>
    <x v="0"/>
    <x v="7"/>
    <x v="0"/>
    <x v="0"/>
    <x v="1"/>
  </r>
  <r>
    <x v="17"/>
    <x v="0"/>
    <x v="0"/>
    <x v="0"/>
    <x v="54"/>
    <x v="2"/>
    <x v="1"/>
    <x v="2"/>
    <x v="0"/>
    <x v="7"/>
    <x v="0"/>
    <x v="0"/>
    <x v="1"/>
  </r>
  <r>
    <x v="18"/>
    <x v="0"/>
    <x v="0"/>
    <x v="0"/>
    <x v="1"/>
    <x v="2"/>
    <x v="1"/>
    <x v="2"/>
    <x v="0"/>
    <x v="7"/>
    <x v="0"/>
    <x v="0"/>
    <x v="1"/>
  </r>
  <r>
    <x v="20"/>
    <x v="0"/>
    <x v="0"/>
    <x v="0"/>
    <x v="14"/>
    <x v="2"/>
    <x v="1"/>
    <x v="2"/>
    <x v="0"/>
    <x v="7"/>
    <x v="0"/>
    <x v="0"/>
    <x v="1"/>
  </r>
  <r>
    <x v="8"/>
    <x v="0"/>
    <x v="0"/>
    <x v="0"/>
    <x v="34"/>
    <x v="2"/>
    <x v="1"/>
    <x v="2"/>
    <x v="0"/>
    <x v="8"/>
    <x v="0"/>
    <x v="0"/>
    <x v="1"/>
  </r>
  <r>
    <x v="9"/>
    <x v="0"/>
    <x v="0"/>
    <x v="0"/>
    <x v="42"/>
    <x v="2"/>
    <x v="1"/>
    <x v="2"/>
    <x v="0"/>
    <x v="8"/>
    <x v="0"/>
    <x v="0"/>
    <x v="1"/>
  </r>
  <r>
    <x v="10"/>
    <x v="0"/>
    <x v="0"/>
    <x v="0"/>
    <x v="46"/>
    <x v="2"/>
    <x v="1"/>
    <x v="2"/>
    <x v="0"/>
    <x v="8"/>
    <x v="0"/>
    <x v="0"/>
    <x v="1"/>
  </r>
  <r>
    <x v="10"/>
    <x v="0"/>
    <x v="0"/>
    <x v="0"/>
    <x v="49"/>
    <x v="2"/>
    <x v="1"/>
    <x v="2"/>
    <x v="0"/>
    <x v="8"/>
    <x v="0"/>
    <x v="0"/>
    <x v="1"/>
  </r>
  <r>
    <x v="11"/>
    <x v="0"/>
    <x v="0"/>
    <x v="0"/>
    <x v="44"/>
    <x v="2"/>
    <x v="1"/>
    <x v="2"/>
    <x v="0"/>
    <x v="8"/>
    <x v="0"/>
    <x v="0"/>
    <x v="1"/>
  </r>
  <r>
    <x v="12"/>
    <x v="0"/>
    <x v="0"/>
    <x v="0"/>
    <x v="43"/>
    <x v="2"/>
    <x v="1"/>
    <x v="2"/>
    <x v="0"/>
    <x v="8"/>
    <x v="0"/>
    <x v="0"/>
    <x v="1"/>
  </r>
  <r>
    <x v="13"/>
    <x v="0"/>
    <x v="0"/>
    <x v="0"/>
    <x v="4"/>
    <x v="2"/>
    <x v="1"/>
    <x v="2"/>
    <x v="0"/>
    <x v="8"/>
    <x v="0"/>
    <x v="0"/>
    <x v="1"/>
  </r>
  <r>
    <x v="14"/>
    <x v="0"/>
    <x v="0"/>
    <x v="0"/>
    <x v="11"/>
    <x v="2"/>
    <x v="1"/>
    <x v="2"/>
    <x v="0"/>
    <x v="8"/>
    <x v="0"/>
    <x v="0"/>
    <x v="1"/>
  </r>
  <r>
    <x v="15"/>
    <x v="0"/>
    <x v="0"/>
    <x v="0"/>
    <x v="15"/>
    <x v="2"/>
    <x v="1"/>
    <x v="2"/>
    <x v="0"/>
    <x v="8"/>
    <x v="0"/>
    <x v="0"/>
    <x v="1"/>
  </r>
  <r>
    <x v="16"/>
    <x v="0"/>
    <x v="0"/>
    <x v="0"/>
    <x v="1"/>
    <x v="2"/>
    <x v="1"/>
    <x v="2"/>
    <x v="0"/>
    <x v="8"/>
    <x v="0"/>
    <x v="0"/>
    <x v="6"/>
  </r>
  <r>
    <x v="58"/>
    <x v="0"/>
    <x v="0"/>
    <x v="0"/>
    <x v="0"/>
    <x v="2"/>
    <x v="1"/>
    <x v="2"/>
    <x v="0"/>
    <x v="21"/>
    <x v="2"/>
    <x v="0"/>
    <x v="9"/>
  </r>
  <r>
    <x v="39"/>
    <x v="0"/>
    <x v="0"/>
    <x v="0"/>
    <x v="7"/>
    <x v="2"/>
    <x v="1"/>
    <x v="2"/>
    <x v="0"/>
    <x v="22"/>
    <x v="9"/>
    <x v="0"/>
    <x v="9"/>
  </r>
  <r>
    <x v="53"/>
    <x v="0"/>
    <x v="0"/>
    <x v="0"/>
    <x v="93"/>
    <x v="2"/>
    <x v="1"/>
    <x v="2"/>
    <x v="0"/>
    <x v="23"/>
    <x v="5"/>
    <x v="0"/>
    <x v="8"/>
  </r>
  <r>
    <x v="44"/>
    <x v="0"/>
    <x v="0"/>
    <x v="0"/>
    <x v="57"/>
    <x v="1"/>
    <x v="0"/>
    <x v="0"/>
    <x v="0"/>
    <x v="25"/>
    <x v="4"/>
    <x v="0"/>
    <x v="6"/>
  </r>
  <r>
    <x v="45"/>
    <x v="0"/>
    <x v="0"/>
    <x v="0"/>
    <x v="74"/>
    <x v="1"/>
    <x v="0"/>
    <x v="0"/>
    <x v="0"/>
    <x v="25"/>
    <x v="4"/>
    <x v="0"/>
    <x v="6"/>
  </r>
  <r>
    <x v="46"/>
    <x v="0"/>
    <x v="0"/>
    <x v="0"/>
    <x v="10"/>
    <x v="1"/>
    <x v="0"/>
    <x v="0"/>
    <x v="0"/>
    <x v="25"/>
    <x v="4"/>
    <x v="0"/>
    <x v="6"/>
  </r>
  <r>
    <x v="47"/>
    <x v="0"/>
    <x v="0"/>
    <x v="0"/>
    <x v="48"/>
    <x v="1"/>
    <x v="0"/>
    <x v="0"/>
    <x v="0"/>
    <x v="25"/>
    <x v="4"/>
    <x v="0"/>
    <x v="6"/>
  </r>
  <r>
    <x v="48"/>
    <x v="0"/>
    <x v="0"/>
    <x v="0"/>
    <x v="51"/>
    <x v="1"/>
    <x v="0"/>
    <x v="0"/>
    <x v="0"/>
    <x v="25"/>
    <x v="4"/>
    <x v="0"/>
    <x v="2"/>
  </r>
  <r>
    <x v="31"/>
    <x v="0"/>
    <x v="0"/>
    <x v="1"/>
    <x v="9"/>
    <x v="2"/>
    <x v="1"/>
    <x v="2"/>
    <x v="0"/>
    <x v="3"/>
    <x v="0"/>
    <x v="0"/>
    <x v="2"/>
  </r>
  <r>
    <x v="32"/>
    <x v="0"/>
    <x v="0"/>
    <x v="1"/>
    <x v="5"/>
    <x v="2"/>
    <x v="1"/>
    <x v="2"/>
    <x v="0"/>
    <x v="3"/>
    <x v="0"/>
    <x v="0"/>
    <x v="2"/>
  </r>
  <r>
    <x v="33"/>
    <x v="0"/>
    <x v="0"/>
    <x v="1"/>
    <x v="85"/>
    <x v="2"/>
    <x v="1"/>
    <x v="2"/>
    <x v="0"/>
    <x v="3"/>
    <x v="0"/>
    <x v="0"/>
    <x v="2"/>
  </r>
  <r>
    <x v="34"/>
    <x v="0"/>
    <x v="0"/>
    <x v="1"/>
    <x v="72"/>
    <x v="2"/>
    <x v="1"/>
    <x v="2"/>
    <x v="0"/>
    <x v="3"/>
    <x v="0"/>
    <x v="0"/>
    <x v="2"/>
  </r>
  <r>
    <x v="35"/>
    <x v="0"/>
    <x v="0"/>
    <x v="1"/>
    <x v="45"/>
    <x v="2"/>
    <x v="1"/>
    <x v="2"/>
    <x v="0"/>
    <x v="3"/>
    <x v="0"/>
    <x v="0"/>
    <x v="2"/>
  </r>
  <r>
    <x v="36"/>
    <x v="0"/>
    <x v="0"/>
    <x v="1"/>
    <x v="39"/>
    <x v="2"/>
    <x v="1"/>
    <x v="2"/>
    <x v="0"/>
    <x v="3"/>
    <x v="0"/>
    <x v="0"/>
    <x v="2"/>
  </r>
  <r>
    <x v="37"/>
    <x v="0"/>
    <x v="0"/>
    <x v="1"/>
    <x v="28"/>
    <x v="2"/>
    <x v="1"/>
    <x v="2"/>
    <x v="0"/>
    <x v="3"/>
    <x v="0"/>
    <x v="0"/>
    <x v="2"/>
  </r>
  <r>
    <x v="38"/>
    <x v="0"/>
    <x v="0"/>
    <x v="1"/>
    <x v="30"/>
    <x v="2"/>
    <x v="1"/>
    <x v="2"/>
    <x v="0"/>
    <x v="3"/>
    <x v="0"/>
    <x v="0"/>
    <x v="2"/>
  </r>
  <r>
    <x v="39"/>
    <x v="0"/>
    <x v="0"/>
    <x v="1"/>
    <x v="12"/>
    <x v="2"/>
    <x v="1"/>
    <x v="2"/>
    <x v="0"/>
    <x v="3"/>
    <x v="0"/>
    <x v="0"/>
    <x v="2"/>
  </r>
  <r>
    <x v="40"/>
    <x v="0"/>
    <x v="0"/>
    <x v="1"/>
    <x v="6"/>
    <x v="2"/>
    <x v="1"/>
    <x v="2"/>
    <x v="0"/>
    <x v="3"/>
    <x v="0"/>
    <x v="0"/>
    <x v="2"/>
  </r>
  <r>
    <x v="41"/>
    <x v="0"/>
    <x v="0"/>
    <x v="1"/>
    <x v="13"/>
    <x v="2"/>
    <x v="1"/>
    <x v="2"/>
    <x v="0"/>
    <x v="3"/>
    <x v="0"/>
    <x v="0"/>
    <x v="2"/>
  </r>
  <r>
    <x v="42"/>
    <x v="0"/>
    <x v="0"/>
    <x v="1"/>
    <x v="8"/>
    <x v="2"/>
    <x v="1"/>
    <x v="2"/>
    <x v="0"/>
    <x v="3"/>
    <x v="0"/>
    <x v="0"/>
    <x v="2"/>
  </r>
  <r>
    <x v="55"/>
    <x v="0"/>
    <x v="0"/>
    <x v="1"/>
    <x v="53"/>
    <x v="2"/>
    <x v="1"/>
    <x v="2"/>
    <x v="0"/>
    <x v="18"/>
    <x v="8"/>
    <x v="0"/>
    <x v="2"/>
  </r>
  <r>
    <x v="56"/>
    <x v="0"/>
    <x v="0"/>
    <x v="1"/>
    <x v="72"/>
    <x v="2"/>
    <x v="1"/>
    <x v="2"/>
    <x v="0"/>
    <x v="19"/>
    <x v="8"/>
    <x v="0"/>
    <x v="2"/>
  </r>
  <r>
    <x v="57"/>
    <x v="0"/>
    <x v="0"/>
    <x v="1"/>
    <x v="69"/>
    <x v="2"/>
    <x v="1"/>
    <x v="2"/>
    <x v="0"/>
    <x v="20"/>
    <x v="7"/>
    <x v="0"/>
    <x v="2"/>
  </r>
  <r>
    <x v="54"/>
    <x v="0"/>
    <x v="0"/>
    <x v="1"/>
    <x v="31"/>
    <x v="2"/>
    <x v="1"/>
    <x v="2"/>
    <x v="0"/>
    <x v="23"/>
    <x v="5"/>
    <x v="0"/>
    <x v="2"/>
  </r>
  <r>
    <x v="69"/>
    <x v="0"/>
    <x v="0"/>
    <x v="1"/>
    <x v="38"/>
    <x v="2"/>
    <x v="1"/>
    <x v="2"/>
    <x v="0"/>
    <x v="23"/>
    <x v="5"/>
    <x v="0"/>
    <x v="2"/>
  </r>
  <r>
    <x v="43"/>
    <x v="0"/>
    <x v="0"/>
    <x v="1"/>
    <x v="66"/>
    <x v="1"/>
    <x v="0"/>
    <x v="0"/>
    <x v="0"/>
    <x v="25"/>
    <x v="4"/>
    <x v="0"/>
    <x v="2"/>
  </r>
  <r>
    <x v="0"/>
    <x v="0"/>
    <x v="0"/>
    <x v="2"/>
    <x v="80"/>
    <x v="0"/>
    <x v="0"/>
    <x v="1"/>
    <x v="0"/>
    <x v="1"/>
    <x v="6"/>
    <x v="0"/>
    <x v="2"/>
  </r>
  <r>
    <x v="1"/>
    <x v="0"/>
    <x v="0"/>
    <x v="2"/>
    <x v="60"/>
    <x v="0"/>
    <x v="0"/>
    <x v="1"/>
    <x v="0"/>
    <x v="1"/>
    <x v="6"/>
    <x v="0"/>
    <x v="2"/>
  </r>
  <r>
    <x v="2"/>
    <x v="0"/>
    <x v="0"/>
    <x v="2"/>
    <x v="71"/>
    <x v="0"/>
    <x v="0"/>
    <x v="1"/>
    <x v="0"/>
    <x v="1"/>
    <x v="6"/>
    <x v="0"/>
    <x v="2"/>
  </r>
  <r>
    <x v="3"/>
    <x v="0"/>
    <x v="0"/>
    <x v="2"/>
    <x v="3"/>
    <x v="0"/>
    <x v="0"/>
    <x v="1"/>
    <x v="0"/>
    <x v="1"/>
    <x v="6"/>
    <x v="0"/>
    <x v="1"/>
  </r>
  <r>
    <x v="4"/>
    <x v="0"/>
    <x v="0"/>
    <x v="2"/>
    <x v="23"/>
    <x v="0"/>
    <x v="0"/>
    <x v="1"/>
    <x v="0"/>
    <x v="1"/>
    <x v="6"/>
    <x v="0"/>
    <x v="1"/>
  </r>
  <r>
    <x v="5"/>
    <x v="0"/>
    <x v="0"/>
    <x v="2"/>
    <x v="65"/>
    <x v="0"/>
    <x v="0"/>
    <x v="1"/>
    <x v="0"/>
    <x v="1"/>
    <x v="6"/>
    <x v="0"/>
    <x v="2"/>
  </r>
  <r>
    <x v="40"/>
    <x v="0"/>
    <x v="0"/>
    <x v="2"/>
    <x v="36"/>
    <x v="0"/>
    <x v="0"/>
    <x v="1"/>
    <x v="0"/>
    <x v="1"/>
    <x v="6"/>
    <x v="0"/>
    <x v="2"/>
  </r>
  <r>
    <x v="41"/>
    <x v="0"/>
    <x v="0"/>
    <x v="2"/>
    <x v="56"/>
    <x v="0"/>
    <x v="0"/>
    <x v="1"/>
    <x v="0"/>
    <x v="1"/>
    <x v="6"/>
    <x v="0"/>
    <x v="2"/>
  </r>
  <r>
    <x v="16"/>
    <x v="0"/>
    <x v="0"/>
    <x v="2"/>
    <x v="78"/>
    <x v="2"/>
    <x v="1"/>
    <x v="2"/>
    <x v="0"/>
    <x v="2"/>
    <x v="0"/>
    <x v="0"/>
    <x v="2"/>
  </r>
  <r>
    <x v="17"/>
    <x v="0"/>
    <x v="0"/>
    <x v="2"/>
    <x v="29"/>
    <x v="2"/>
    <x v="1"/>
    <x v="2"/>
    <x v="0"/>
    <x v="2"/>
    <x v="0"/>
    <x v="0"/>
    <x v="2"/>
  </r>
  <r>
    <x v="18"/>
    <x v="0"/>
    <x v="0"/>
    <x v="2"/>
    <x v="63"/>
    <x v="2"/>
    <x v="1"/>
    <x v="2"/>
    <x v="0"/>
    <x v="2"/>
    <x v="0"/>
    <x v="0"/>
    <x v="2"/>
  </r>
  <r>
    <x v="19"/>
    <x v="0"/>
    <x v="0"/>
    <x v="2"/>
    <x v="27"/>
    <x v="2"/>
    <x v="1"/>
    <x v="2"/>
    <x v="0"/>
    <x v="2"/>
    <x v="0"/>
    <x v="0"/>
    <x v="2"/>
  </r>
  <r>
    <x v="20"/>
    <x v="0"/>
    <x v="0"/>
    <x v="2"/>
    <x v="26"/>
    <x v="2"/>
    <x v="1"/>
    <x v="2"/>
    <x v="0"/>
    <x v="2"/>
    <x v="0"/>
    <x v="0"/>
    <x v="2"/>
  </r>
  <r>
    <x v="21"/>
    <x v="0"/>
    <x v="0"/>
    <x v="2"/>
    <x v="25"/>
    <x v="2"/>
    <x v="1"/>
    <x v="2"/>
    <x v="0"/>
    <x v="2"/>
    <x v="0"/>
    <x v="0"/>
    <x v="2"/>
  </r>
  <r>
    <x v="22"/>
    <x v="0"/>
    <x v="0"/>
    <x v="2"/>
    <x v="21"/>
    <x v="2"/>
    <x v="1"/>
    <x v="2"/>
    <x v="0"/>
    <x v="2"/>
    <x v="0"/>
    <x v="0"/>
    <x v="2"/>
  </r>
  <r>
    <x v="23"/>
    <x v="0"/>
    <x v="0"/>
    <x v="2"/>
    <x v="61"/>
    <x v="2"/>
    <x v="1"/>
    <x v="2"/>
    <x v="0"/>
    <x v="2"/>
    <x v="0"/>
    <x v="0"/>
    <x v="2"/>
  </r>
  <r>
    <x v="24"/>
    <x v="0"/>
    <x v="0"/>
    <x v="2"/>
    <x v="90"/>
    <x v="2"/>
    <x v="1"/>
    <x v="2"/>
    <x v="0"/>
    <x v="2"/>
    <x v="0"/>
    <x v="0"/>
    <x v="2"/>
  </r>
  <r>
    <x v="25"/>
    <x v="0"/>
    <x v="0"/>
    <x v="2"/>
    <x v="24"/>
    <x v="2"/>
    <x v="1"/>
    <x v="2"/>
    <x v="0"/>
    <x v="2"/>
    <x v="0"/>
    <x v="0"/>
    <x v="2"/>
  </r>
  <r>
    <x v="62"/>
    <x v="0"/>
    <x v="0"/>
    <x v="2"/>
    <x v="64"/>
    <x v="2"/>
    <x v="1"/>
    <x v="2"/>
    <x v="0"/>
    <x v="9"/>
    <x v="7"/>
    <x v="0"/>
    <x v="2"/>
  </r>
  <r>
    <x v="38"/>
    <x v="0"/>
    <x v="0"/>
    <x v="2"/>
    <x v="70"/>
    <x v="2"/>
    <x v="1"/>
    <x v="2"/>
    <x v="0"/>
    <x v="14"/>
    <x v="10"/>
    <x v="0"/>
    <x v="2"/>
  </r>
  <r>
    <x v="67"/>
    <x v="0"/>
    <x v="0"/>
    <x v="2"/>
    <x v="40"/>
    <x v="2"/>
    <x v="1"/>
    <x v="2"/>
    <x v="0"/>
    <x v="15"/>
    <x v="9"/>
    <x v="0"/>
    <x v="2"/>
  </r>
  <r>
    <x v="68"/>
    <x v="0"/>
    <x v="0"/>
    <x v="2"/>
    <x v="22"/>
    <x v="2"/>
    <x v="1"/>
    <x v="2"/>
    <x v="0"/>
    <x v="17"/>
    <x v="9"/>
    <x v="0"/>
    <x v="2"/>
  </r>
  <r>
    <x v="26"/>
    <x v="0"/>
    <x v="0"/>
    <x v="2"/>
    <x v="33"/>
    <x v="2"/>
    <x v="1"/>
    <x v="2"/>
    <x v="0"/>
    <x v="24"/>
    <x v="4"/>
    <x v="0"/>
    <x v="2"/>
  </r>
  <r>
    <x v="27"/>
    <x v="0"/>
    <x v="0"/>
    <x v="2"/>
    <x v="62"/>
    <x v="2"/>
    <x v="1"/>
    <x v="2"/>
    <x v="0"/>
    <x v="24"/>
    <x v="4"/>
    <x v="0"/>
    <x v="2"/>
  </r>
  <r>
    <x v="28"/>
    <x v="0"/>
    <x v="0"/>
    <x v="2"/>
    <x v="58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2"/>
    <x v="0"/>
    <x v="0"/>
    <x v="3"/>
    <x v="37"/>
    <x v="2"/>
    <x v="1"/>
    <x v="2"/>
    <x v="0"/>
    <x v="0"/>
    <x v="0"/>
    <x v="0"/>
    <x v="2"/>
  </r>
  <r>
    <x v="3"/>
    <x v="0"/>
    <x v="0"/>
    <x v="3"/>
    <x v="37"/>
    <x v="2"/>
    <x v="1"/>
    <x v="2"/>
    <x v="0"/>
    <x v="0"/>
    <x v="0"/>
    <x v="0"/>
    <x v="2"/>
  </r>
  <r>
    <x v="4"/>
    <x v="0"/>
    <x v="0"/>
    <x v="3"/>
    <x v="37"/>
    <x v="2"/>
    <x v="1"/>
    <x v="2"/>
    <x v="0"/>
    <x v="0"/>
    <x v="0"/>
    <x v="0"/>
    <x v="3"/>
  </r>
  <r>
    <x v="5"/>
    <x v="0"/>
    <x v="0"/>
    <x v="3"/>
    <x v="59"/>
    <x v="2"/>
    <x v="1"/>
    <x v="2"/>
    <x v="0"/>
    <x v="0"/>
    <x v="0"/>
    <x v="0"/>
    <x v="3"/>
  </r>
  <r>
    <x v="6"/>
    <x v="0"/>
    <x v="0"/>
    <x v="3"/>
    <x v="86"/>
    <x v="2"/>
    <x v="1"/>
    <x v="2"/>
    <x v="0"/>
    <x v="0"/>
    <x v="0"/>
    <x v="0"/>
    <x v="2"/>
  </r>
  <r>
    <x v="7"/>
    <x v="0"/>
    <x v="0"/>
    <x v="3"/>
    <x v="92"/>
    <x v="2"/>
    <x v="1"/>
    <x v="2"/>
    <x v="0"/>
    <x v="0"/>
    <x v="0"/>
    <x v="0"/>
    <x v="2"/>
  </r>
  <r>
    <x v="8"/>
    <x v="0"/>
    <x v="0"/>
    <x v="3"/>
    <x v="88"/>
    <x v="2"/>
    <x v="1"/>
    <x v="2"/>
    <x v="0"/>
    <x v="0"/>
    <x v="0"/>
    <x v="0"/>
    <x v="2"/>
  </r>
  <r>
    <x v="9"/>
    <x v="0"/>
    <x v="0"/>
    <x v="3"/>
    <x v="91"/>
    <x v="2"/>
    <x v="1"/>
    <x v="2"/>
    <x v="0"/>
    <x v="0"/>
    <x v="0"/>
    <x v="0"/>
    <x v="0"/>
  </r>
  <r>
    <x v="10"/>
    <x v="0"/>
    <x v="0"/>
    <x v="3"/>
    <x v="55"/>
    <x v="2"/>
    <x v="1"/>
    <x v="2"/>
    <x v="0"/>
    <x v="0"/>
    <x v="0"/>
    <x v="0"/>
    <x v="0"/>
  </r>
  <r>
    <x v="11"/>
    <x v="0"/>
    <x v="0"/>
    <x v="3"/>
    <x v="41"/>
    <x v="2"/>
    <x v="1"/>
    <x v="2"/>
    <x v="0"/>
    <x v="0"/>
    <x v="0"/>
    <x v="0"/>
    <x v="0"/>
  </r>
  <r>
    <x v="12"/>
    <x v="0"/>
    <x v="0"/>
    <x v="3"/>
    <x v="47"/>
    <x v="2"/>
    <x v="1"/>
    <x v="2"/>
    <x v="0"/>
    <x v="0"/>
    <x v="0"/>
    <x v="0"/>
    <x v="4"/>
  </r>
  <r>
    <x v="13"/>
    <x v="0"/>
    <x v="0"/>
    <x v="3"/>
    <x v="81"/>
    <x v="2"/>
    <x v="1"/>
    <x v="2"/>
    <x v="0"/>
    <x v="0"/>
    <x v="0"/>
    <x v="0"/>
    <x v="3"/>
  </r>
  <r>
    <x v="14"/>
    <x v="0"/>
    <x v="0"/>
    <x v="3"/>
    <x v="73"/>
    <x v="2"/>
    <x v="1"/>
    <x v="2"/>
    <x v="0"/>
    <x v="0"/>
    <x v="0"/>
    <x v="0"/>
    <x v="6"/>
  </r>
  <r>
    <x v="65"/>
    <x v="0"/>
    <x v="0"/>
    <x v="3"/>
    <x v="75"/>
    <x v="2"/>
    <x v="1"/>
    <x v="2"/>
    <x v="0"/>
    <x v="4"/>
    <x v="11"/>
    <x v="0"/>
    <x v="3"/>
  </r>
  <r>
    <x v="66"/>
    <x v="0"/>
    <x v="0"/>
    <x v="3"/>
    <x v="76"/>
    <x v="2"/>
    <x v="1"/>
    <x v="2"/>
    <x v="0"/>
    <x v="5"/>
    <x v="11"/>
    <x v="0"/>
    <x v="3"/>
  </r>
  <r>
    <x v="52"/>
    <x v="0"/>
    <x v="0"/>
    <x v="3"/>
    <x v="77"/>
    <x v="2"/>
    <x v="1"/>
    <x v="2"/>
    <x v="0"/>
    <x v="9"/>
    <x v="7"/>
    <x v="0"/>
    <x v="3"/>
  </r>
  <r>
    <x v="63"/>
    <x v="0"/>
    <x v="0"/>
    <x v="3"/>
    <x v="89"/>
    <x v="2"/>
    <x v="1"/>
    <x v="2"/>
    <x v="0"/>
    <x v="10"/>
    <x v="7"/>
    <x v="0"/>
    <x v="3"/>
  </r>
  <r>
    <x v="32"/>
    <x v="0"/>
    <x v="0"/>
    <x v="3"/>
    <x v="82"/>
    <x v="2"/>
    <x v="1"/>
    <x v="2"/>
    <x v="0"/>
    <x v="11"/>
    <x v="3"/>
    <x v="0"/>
    <x v="3"/>
  </r>
  <r>
    <x v="33"/>
    <x v="0"/>
    <x v="0"/>
    <x v="3"/>
    <x v="83"/>
    <x v="2"/>
    <x v="1"/>
    <x v="2"/>
    <x v="0"/>
    <x v="12"/>
    <x v="3"/>
    <x v="0"/>
    <x v="3"/>
  </r>
  <r>
    <x v="34"/>
    <x v="0"/>
    <x v="0"/>
    <x v="3"/>
    <x v="84"/>
    <x v="2"/>
    <x v="1"/>
    <x v="2"/>
    <x v="0"/>
    <x v="13"/>
    <x v="3"/>
    <x v="0"/>
    <x v="7"/>
  </r>
  <r>
    <x v="64"/>
    <x v="0"/>
    <x v="0"/>
    <x v="3"/>
    <x v="35"/>
    <x v="2"/>
    <x v="1"/>
    <x v="2"/>
    <x v="0"/>
    <x v="23"/>
    <x v="5"/>
    <x v="0"/>
    <x v="8"/>
  </r>
  <r>
    <x v="21"/>
    <x v="0"/>
    <x v="0"/>
    <x v="4"/>
    <x v="52"/>
    <x v="2"/>
    <x v="1"/>
    <x v="2"/>
    <x v="0"/>
    <x v="6"/>
    <x v="0"/>
    <x v="0"/>
    <x v="6"/>
  </r>
  <r>
    <x v="22"/>
    <x v="0"/>
    <x v="0"/>
    <x v="4"/>
    <x v="68"/>
    <x v="2"/>
    <x v="1"/>
    <x v="2"/>
    <x v="0"/>
    <x v="6"/>
    <x v="0"/>
    <x v="0"/>
    <x v="6"/>
  </r>
  <r>
    <x v="23"/>
    <x v="0"/>
    <x v="0"/>
    <x v="4"/>
    <x v="87"/>
    <x v="2"/>
    <x v="1"/>
    <x v="2"/>
    <x v="0"/>
    <x v="6"/>
    <x v="0"/>
    <x v="0"/>
    <x v="4"/>
  </r>
  <r>
    <x v="24"/>
    <x v="0"/>
    <x v="0"/>
    <x v="4"/>
    <x v="67"/>
    <x v="2"/>
    <x v="1"/>
    <x v="2"/>
    <x v="0"/>
    <x v="6"/>
    <x v="0"/>
    <x v="0"/>
    <x v="4"/>
  </r>
  <r>
    <x v="25"/>
    <x v="0"/>
    <x v="0"/>
    <x v="4"/>
    <x v="79"/>
    <x v="2"/>
    <x v="1"/>
    <x v="2"/>
    <x v="0"/>
    <x v="6"/>
    <x v="0"/>
    <x v="0"/>
    <x v="3"/>
  </r>
  <r>
    <x v="26"/>
    <x v="0"/>
    <x v="0"/>
    <x v="4"/>
    <x v="32"/>
    <x v="2"/>
    <x v="1"/>
    <x v="2"/>
    <x v="0"/>
    <x v="6"/>
    <x v="0"/>
    <x v="0"/>
    <x v="3"/>
  </r>
  <r>
    <x v="27"/>
    <x v="0"/>
    <x v="0"/>
    <x v="4"/>
    <x v="32"/>
    <x v="2"/>
    <x v="1"/>
    <x v="2"/>
    <x v="0"/>
    <x v="6"/>
    <x v="0"/>
    <x v="0"/>
    <x v="3"/>
  </r>
  <r>
    <x v="28"/>
    <x v="0"/>
    <x v="0"/>
    <x v="4"/>
    <x v="32"/>
    <x v="2"/>
    <x v="1"/>
    <x v="2"/>
    <x v="0"/>
    <x v="6"/>
    <x v="0"/>
    <x v="0"/>
    <x v="10"/>
  </r>
  <r>
    <x v="29"/>
    <x v="0"/>
    <x v="0"/>
    <x v="4"/>
    <x v="32"/>
    <x v="2"/>
    <x v="1"/>
    <x v="2"/>
    <x v="0"/>
    <x v="6"/>
    <x v="0"/>
    <x v="0"/>
    <x v="10"/>
  </r>
  <r>
    <x v="30"/>
    <x v="0"/>
    <x v="0"/>
    <x v="4"/>
    <x v="32"/>
    <x v="2"/>
    <x v="1"/>
    <x v="2"/>
    <x v="0"/>
    <x v="6"/>
    <x v="0"/>
    <x v="0"/>
    <x v="10"/>
  </r>
  <r>
    <x v="31"/>
    <x v="0"/>
    <x v="0"/>
    <x v="4"/>
    <x v="32"/>
    <x v="2"/>
    <x v="1"/>
    <x v="2"/>
    <x v="0"/>
    <x v="6"/>
    <x v="0"/>
    <x v="0"/>
    <x v="6"/>
  </r>
  <r>
    <x v="6"/>
    <x v="0"/>
    <x v="0"/>
    <x v="4"/>
    <x v="17"/>
    <x v="2"/>
    <x v="1"/>
    <x v="2"/>
    <x v="0"/>
    <x v="8"/>
    <x v="0"/>
    <x v="0"/>
    <x v="6"/>
  </r>
  <r>
    <x v="7"/>
    <x v="0"/>
    <x v="0"/>
    <x v="4"/>
    <x v="19"/>
    <x v="2"/>
    <x v="1"/>
    <x v="2"/>
    <x v="0"/>
    <x v="8"/>
    <x v="0"/>
    <x v="0"/>
    <x v="6"/>
  </r>
  <r>
    <x v="61"/>
    <x v="0"/>
    <x v="0"/>
    <x v="4"/>
    <x v="16"/>
    <x v="2"/>
    <x v="1"/>
    <x v="2"/>
    <x v="0"/>
    <x v="16"/>
    <x v="11"/>
    <x v="0"/>
    <x v="9"/>
  </r>
  <r>
    <x v="59"/>
    <x v="0"/>
    <x v="0"/>
    <x v="4"/>
    <x v="18"/>
    <x v="2"/>
    <x v="1"/>
    <x v="2"/>
    <x v="0"/>
    <x v="23"/>
    <x v="5"/>
    <x v="0"/>
    <x v="8"/>
  </r>
  <r>
    <x v="60"/>
    <x v="0"/>
    <x v="0"/>
    <x v="4"/>
    <x v="20"/>
    <x v="2"/>
    <x v="1"/>
    <x v="2"/>
    <x v="0"/>
    <x v="23"/>
    <x v="5"/>
    <x v="0"/>
    <x v="8"/>
  </r>
  <r>
    <x v="70"/>
    <x v="0"/>
    <x v="0"/>
    <x v="5"/>
    <x v="94"/>
    <x v="2"/>
    <x v="1"/>
    <x v="2"/>
    <x v="0"/>
    <x v="26"/>
    <x v="12"/>
    <x v="2"/>
    <x v="10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1"/>
    <x v="1"/>
    <x v="5"/>
    <x v="94"/>
    <x v="2"/>
    <x v="1"/>
    <x v="2"/>
    <x v="0"/>
    <x v="26"/>
    <x v="12"/>
    <x v="2"/>
    <x v="10"/>
  </r>
  <r>
    <x v="51"/>
    <x v="1"/>
    <x v="1"/>
    <x v="5"/>
    <x v="94"/>
    <x v="2"/>
    <x v="1"/>
    <x v="2"/>
    <x v="0"/>
    <x v="26"/>
    <x v="12"/>
    <x v="2"/>
    <x v="10"/>
  </r>
  <r>
    <x v="49"/>
    <x v="1"/>
    <x v="1"/>
    <x v="5"/>
    <x v="94"/>
    <x v="2"/>
    <x v="1"/>
    <x v="2"/>
    <x v="0"/>
    <x v="26"/>
    <x v="12"/>
    <x v="2"/>
    <x v="10"/>
  </r>
  <r>
    <x v="50"/>
    <x v="1"/>
    <x v="1"/>
    <x v="5"/>
    <x v="94"/>
    <x v="2"/>
    <x v="1"/>
    <x v="2"/>
    <x v="0"/>
    <x v="26"/>
    <x v="12"/>
    <x v="2"/>
    <x v="1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F102" firstHeaderRow="1" firstDataRow="2" firstDataCol="3"/>
  <pivotFields count="13">
    <pivotField compact="0" showAll="0"/>
    <pivotField compact="0" showAll="0"/>
    <pivotField compact="0" showAll="0"/>
    <pivotField axis="axisRow" dataField="1" compact="0" showAll="0" defaultSubtotal="0" outline="0">
      <items count="6">
        <item x="0"/>
        <item x="1"/>
        <item x="2"/>
        <item x="3"/>
        <item x="4"/>
        <item x="5"/>
      </items>
    </pivotField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40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4">
        <item h="1" x="1"/>
        <item x="0"/>
        <item h="1" x="2"/>
        <item t="default"/>
      </items>
    </pivotField>
    <pivotField compact="0" showAll="0"/>
  </pivotFields>
  <rowFields count="3">
    <field x="9"/>
    <field x="3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3">
    <i>
      <x v="0"/>
    </i>
    <i>
      <x v="1"/>
    </i>
    <i t="grand">
      <x v="2"/>
    </i>
  </colItems>
  <dataFields count="1">
    <dataField name="Cuenta de Planta" fld="3" subtotal="count" numFmtId="164"/>
  </dataField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7" activePane="bottomRight" state="frozen"/>
      <selection pane="topLeft" activeCell="A1" activeCellId="0" sqref="A1"/>
      <selection pane="topRight" activeCell="D1" activeCellId="0" sqref="D1"/>
      <selection pane="bottomLeft" activeCell="A17" activeCellId="0" sqref="A17"/>
      <selection pane="bottomRight" activeCell="B26" activeCellId="0" sqref="B2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/>
      <c r="D3" s="5" t="s">
        <v>1</v>
      </c>
      <c r="E3" s="6"/>
      <c r="F3" s="7"/>
    </row>
    <row r="4" customFormat="false" ht="14.25" hidden="false" customHeight="false" outlineLevel="0" collapsed="false">
      <c r="A4" s="8" t="s">
        <v>2</v>
      </c>
      <c r="B4" s="9" t="s">
        <v>3</v>
      </c>
      <c r="C4" s="9" t="s">
        <v>4</v>
      </c>
      <c r="D4" s="10" t="n">
        <v>0</v>
      </c>
      <c r="E4" s="11" t="s">
        <v>5</v>
      </c>
      <c r="F4" s="12" t="s">
        <v>6</v>
      </c>
    </row>
    <row r="5" customFormat="false" ht="14.25" hidden="false" customHeight="false" outlineLevel="0" collapsed="false">
      <c r="A5" s="13" t="s">
        <v>7</v>
      </c>
      <c r="B5" s="14" t="s">
        <v>8</v>
      </c>
      <c r="C5" s="15" t="s">
        <v>9</v>
      </c>
      <c r="D5" s="16" t="n">
        <v>3</v>
      </c>
      <c r="E5" s="16"/>
      <c r="F5" s="17" t="n">
        <v>3</v>
      </c>
    </row>
    <row r="6" customFormat="false" ht="14.25" hidden="false" customHeight="false" outlineLevel="0" collapsed="false">
      <c r="A6" s="18"/>
      <c r="B6" s="19"/>
      <c r="C6" s="19" t="s">
        <v>10</v>
      </c>
      <c r="D6" s="16" t="n">
        <v>1</v>
      </c>
      <c r="E6" s="16"/>
      <c r="F6" s="17" t="n">
        <v>1</v>
      </c>
    </row>
    <row r="7" customFormat="false" ht="14.25" hidden="false" customHeight="false" outlineLevel="0" collapsed="false">
      <c r="A7" s="18"/>
      <c r="B7" s="19"/>
      <c r="C7" s="19" t="s">
        <v>11</v>
      </c>
      <c r="D7" s="16" t="n">
        <v>1</v>
      </c>
      <c r="E7" s="16"/>
      <c r="F7" s="17" t="n">
        <v>1</v>
      </c>
    </row>
    <row r="8" customFormat="false" ht="14.25" hidden="false" customHeight="false" outlineLevel="0" collapsed="false">
      <c r="A8" s="18"/>
      <c r="B8" s="19"/>
      <c r="C8" s="19" t="s">
        <v>12</v>
      </c>
      <c r="D8" s="16" t="n">
        <v>1</v>
      </c>
      <c r="E8" s="16"/>
      <c r="F8" s="17" t="n">
        <v>1</v>
      </c>
    </row>
    <row r="9" customFormat="false" ht="14.25" hidden="false" customHeight="false" outlineLevel="0" collapsed="false">
      <c r="A9" s="18"/>
      <c r="B9" s="19"/>
      <c r="C9" s="19" t="s">
        <v>13</v>
      </c>
      <c r="D9" s="16" t="n">
        <v>1</v>
      </c>
      <c r="E9" s="16"/>
      <c r="F9" s="17" t="n">
        <v>1</v>
      </c>
    </row>
    <row r="10" customFormat="false" ht="14.25" hidden="false" customHeight="false" outlineLevel="0" collapsed="false">
      <c r="A10" s="18"/>
      <c r="B10" s="19"/>
      <c r="C10" s="19" t="s">
        <v>14</v>
      </c>
      <c r="D10" s="16" t="n">
        <v>1</v>
      </c>
      <c r="E10" s="16"/>
      <c r="F10" s="17" t="n">
        <v>1</v>
      </c>
    </row>
    <row r="11" customFormat="false" ht="14.25" hidden="false" customHeight="false" outlineLevel="0" collapsed="false">
      <c r="A11" s="18"/>
      <c r="B11" s="19"/>
      <c r="C11" s="19" t="s">
        <v>15</v>
      </c>
      <c r="D11" s="16" t="n">
        <v>1</v>
      </c>
      <c r="E11" s="16"/>
      <c r="F11" s="17" t="n">
        <v>1</v>
      </c>
    </row>
    <row r="12" customFormat="false" ht="14.25" hidden="false" customHeight="false" outlineLevel="0" collapsed="false">
      <c r="A12" s="18"/>
      <c r="B12" s="19"/>
      <c r="C12" s="19" t="s">
        <v>16</v>
      </c>
      <c r="D12" s="16" t="n">
        <v>1</v>
      </c>
      <c r="E12" s="16"/>
      <c r="F12" s="17" t="n">
        <v>1</v>
      </c>
    </row>
    <row r="13" customFormat="false" ht="14.25" hidden="false" customHeight="false" outlineLevel="0" collapsed="false">
      <c r="A13" s="18"/>
      <c r="B13" s="19"/>
      <c r="C13" s="19" t="s">
        <v>17</v>
      </c>
      <c r="D13" s="16" t="n">
        <v>1</v>
      </c>
      <c r="E13" s="16"/>
      <c r="F13" s="17" t="n">
        <v>1</v>
      </c>
    </row>
    <row r="14" customFormat="false" ht="14.25" hidden="false" customHeight="false" outlineLevel="0" collapsed="false">
      <c r="A14" s="18"/>
      <c r="B14" s="19"/>
      <c r="C14" s="19" t="s">
        <v>18</v>
      </c>
      <c r="D14" s="16" t="n">
        <v>1</v>
      </c>
      <c r="E14" s="16"/>
      <c r="F14" s="17" t="n">
        <v>1</v>
      </c>
    </row>
    <row r="15" customFormat="false" ht="14.25" hidden="false" customHeight="false" outlineLevel="0" collapsed="false">
      <c r="A15" s="20"/>
      <c r="B15" s="21"/>
      <c r="C15" s="21" t="s">
        <v>19</v>
      </c>
      <c r="D15" s="16" t="n">
        <v>1</v>
      </c>
      <c r="E15" s="16"/>
      <c r="F15" s="17" t="n">
        <v>1</v>
      </c>
    </row>
    <row r="16" customFormat="false" ht="14.25" hidden="false" customHeight="false" outlineLevel="0" collapsed="false">
      <c r="A16" s="13" t="s">
        <v>20</v>
      </c>
      <c r="B16" s="14" t="s">
        <v>21</v>
      </c>
      <c r="C16" s="15" t="s">
        <v>22</v>
      </c>
      <c r="D16" s="16" t="n">
        <v>1</v>
      </c>
      <c r="E16" s="16"/>
      <c r="F16" s="17" t="n">
        <v>1</v>
      </c>
    </row>
    <row r="17" customFormat="false" ht="14.25" hidden="false" customHeight="false" outlineLevel="0" collapsed="false">
      <c r="A17" s="18"/>
      <c r="B17" s="19"/>
      <c r="C17" s="19" t="s">
        <v>23</v>
      </c>
      <c r="D17" s="16" t="n">
        <v>1</v>
      </c>
      <c r="E17" s="16"/>
      <c r="F17" s="17" t="n">
        <v>1</v>
      </c>
    </row>
    <row r="18" customFormat="false" ht="14.25" hidden="false" customHeight="false" outlineLevel="0" collapsed="false">
      <c r="A18" s="18"/>
      <c r="B18" s="19"/>
      <c r="C18" s="19" t="s">
        <v>24</v>
      </c>
      <c r="D18" s="16" t="n">
        <v>1</v>
      </c>
      <c r="E18" s="16"/>
      <c r="F18" s="17" t="n">
        <v>1</v>
      </c>
    </row>
    <row r="19" customFormat="false" ht="14.25" hidden="false" customHeight="false" outlineLevel="0" collapsed="false">
      <c r="A19" s="18"/>
      <c r="B19" s="19"/>
      <c r="C19" s="19" t="s">
        <v>25</v>
      </c>
      <c r="D19" s="16" t="n">
        <v>1</v>
      </c>
      <c r="E19" s="16"/>
      <c r="F19" s="17" t="n">
        <v>1</v>
      </c>
    </row>
    <row r="20" customFormat="false" ht="14.25" hidden="false" customHeight="false" outlineLevel="0" collapsed="false">
      <c r="A20" s="18"/>
      <c r="B20" s="19"/>
      <c r="C20" s="19" t="s">
        <v>26</v>
      </c>
      <c r="D20" s="16" t="n">
        <v>1</v>
      </c>
      <c r="E20" s="16"/>
      <c r="F20" s="17" t="n">
        <v>1</v>
      </c>
    </row>
    <row r="21" customFormat="false" ht="14.25" hidden="false" customHeight="false" outlineLevel="0" collapsed="false">
      <c r="A21" s="18"/>
      <c r="B21" s="19"/>
      <c r="C21" s="19" t="s">
        <v>27</v>
      </c>
      <c r="D21" s="16" t="n">
        <v>1</v>
      </c>
      <c r="E21" s="16"/>
      <c r="F21" s="17" t="n">
        <v>1</v>
      </c>
    </row>
    <row r="22" customFormat="false" ht="14.25" hidden="false" customHeight="false" outlineLevel="0" collapsed="false">
      <c r="A22" s="18"/>
      <c r="B22" s="19"/>
      <c r="C22" s="19" t="s">
        <v>28</v>
      </c>
      <c r="D22" s="16" t="n">
        <v>1</v>
      </c>
      <c r="E22" s="16"/>
      <c r="F22" s="17" t="n">
        <v>1</v>
      </c>
    </row>
    <row r="23" customFormat="false" ht="14.25" hidden="false" customHeight="false" outlineLevel="0" collapsed="false">
      <c r="A23" s="20"/>
      <c r="B23" s="21"/>
      <c r="C23" s="21" t="s">
        <v>29</v>
      </c>
      <c r="D23" s="16" t="n">
        <v>1</v>
      </c>
      <c r="E23" s="16"/>
      <c r="F23" s="17" t="n">
        <v>1</v>
      </c>
    </row>
    <row r="24" customFormat="false" ht="14.25" hidden="false" customHeight="false" outlineLevel="0" collapsed="false">
      <c r="A24" s="13" t="s">
        <v>30</v>
      </c>
      <c r="B24" s="14" t="s">
        <v>21</v>
      </c>
      <c r="C24" s="15" t="s">
        <v>31</v>
      </c>
      <c r="D24" s="16" t="n">
        <v>1</v>
      </c>
      <c r="E24" s="16"/>
      <c r="F24" s="17" t="n">
        <v>1</v>
      </c>
    </row>
    <row r="25" customFormat="false" ht="14.25" hidden="false" customHeight="false" outlineLevel="0" collapsed="false">
      <c r="A25" s="18"/>
      <c r="B25" s="19"/>
      <c r="C25" s="19" t="s">
        <v>32</v>
      </c>
      <c r="D25" s="16" t="n">
        <v>1</v>
      </c>
      <c r="E25" s="16"/>
      <c r="F25" s="17" t="n">
        <v>1</v>
      </c>
    </row>
    <row r="26" customFormat="false" ht="14.25" hidden="false" customHeight="false" outlineLevel="0" collapsed="false">
      <c r="A26" s="18"/>
      <c r="B26" s="19"/>
      <c r="C26" s="19" t="s">
        <v>33</v>
      </c>
      <c r="D26" s="16" t="n">
        <v>1</v>
      </c>
      <c r="E26" s="16"/>
      <c r="F26" s="17" t="n">
        <v>1</v>
      </c>
    </row>
    <row r="27" customFormat="false" ht="14.25" hidden="false" customHeight="false" outlineLevel="0" collapsed="false">
      <c r="A27" s="18"/>
      <c r="B27" s="19"/>
      <c r="C27" s="19" t="s">
        <v>34</v>
      </c>
      <c r="D27" s="16" t="n">
        <v>1</v>
      </c>
      <c r="E27" s="16"/>
      <c r="F27" s="17" t="n">
        <v>1</v>
      </c>
    </row>
    <row r="28" customFormat="false" ht="14.25" hidden="false" customHeight="false" outlineLevel="0" collapsed="false">
      <c r="A28" s="18"/>
      <c r="B28" s="19"/>
      <c r="C28" s="19" t="s">
        <v>35</v>
      </c>
      <c r="D28" s="16" t="n">
        <v>1</v>
      </c>
      <c r="E28" s="16"/>
      <c r="F28" s="17" t="n">
        <v>1</v>
      </c>
    </row>
    <row r="29" customFormat="false" ht="14.25" hidden="false" customHeight="false" outlineLevel="0" collapsed="false">
      <c r="A29" s="18"/>
      <c r="B29" s="19"/>
      <c r="C29" s="19" t="s">
        <v>36</v>
      </c>
      <c r="D29" s="16" t="n">
        <v>1</v>
      </c>
      <c r="E29" s="16"/>
      <c r="F29" s="17" t="n">
        <v>1</v>
      </c>
    </row>
    <row r="30" customFormat="false" ht="14.25" hidden="false" customHeight="false" outlineLevel="0" collapsed="false">
      <c r="A30" s="18"/>
      <c r="B30" s="19"/>
      <c r="C30" s="19" t="s">
        <v>37</v>
      </c>
      <c r="D30" s="16" t="n">
        <v>1</v>
      </c>
      <c r="E30" s="16"/>
      <c r="F30" s="17" t="n">
        <v>1</v>
      </c>
    </row>
    <row r="31" customFormat="false" ht="14.25" hidden="false" customHeight="false" outlineLevel="0" collapsed="false">
      <c r="A31" s="18"/>
      <c r="B31" s="19"/>
      <c r="C31" s="19" t="s">
        <v>38</v>
      </c>
      <c r="D31" s="16" t="n">
        <v>1</v>
      </c>
      <c r="E31" s="16"/>
      <c r="F31" s="17" t="n">
        <v>1</v>
      </c>
    </row>
    <row r="32" customFormat="false" ht="14.25" hidden="false" customHeight="false" outlineLevel="0" collapsed="false">
      <c r="A32" s="18"/>
      <c r="B32" s="19"/>
      <c r="C32" s="19" t="s">
        <v>39</v>
      </c>
      <c r="D32" s="16" t="n">
        <v>1</v>
      </c>
      <c r="E32" s="16"/>
      <c r="F32" s="17" t="n">
        <v>1</v>
      </c>
    </row>
    <row r="33" customFormat="false" ht="14.25" hidden="false" customHeight="false" outlineLevel="0" collapsed="false">
      <c r="A33" s="20"/>
      <c r="B33" s="21"/>
      <c r="C33" s="21" t="s">
        <v>40</v>
      </c>
      <c r="D33" s="16" t="n">
        <v>1</v>
      </c>
      <c r="E33" s="16"/>
      <c r="F33" s="17" t="n">
        <v>1</v>
      </c>
    </row>
    <row r="34" customFormat="false" ht="14.25" hidden="false" customHeight="false" outlineLevel="0" collapsed="false">
      <c r="A34" s="13" t="s">
        <v>41</v>
      </c>
      <c r="B34" s="14" t="s">
        <v>42</v>
      </c>
      <c r="C34" s="15" t="s">
        <v>43</v>
      </c>
      <c r="D34" s="16" t="n">
        <v>1</v>
      </c>
      <c r="E34" s="16"/>
      <c r="F34" s="17" t="n">
        <v>1</v>
      </c>
    </row>
    <row r="35" customFormat="false" ht="14.25" hidden="false" customHeight="false" outlineLevel="0" collapsed="false">
      <c r="A35" s="18"/>
      <c r="B35" s="19"/>
      <c r="C35" s="19" t="s">
        <v>44</v>
      </c>
      <c r="D35" s="16" t="n">
        <v>1</v>
      </c>
      <c r="E35" s="16"/>
      <c r="F35" s="17" t="n">
        <v>1</v>
      </c>
    </row>
    <row r="36" customFormat="false" ht="14.25" hidden="false" customHeight="false" outlineLevel="0" collapsed="false">
      <c r="A36" s="18"/>
      <c r="B36" s="19"/>
      <c r="C36" s="19" t="s">
        <v>45</v>
      </c>
      <c r="D36" s="16" t="n">
        <v>1</v>
      </c>
      <c r="E36" s="16"/>
      <c r="F36" s="17" t="n">
        <v>1</v>
      </c>
    </row>
    <row r="37" customFormat="false" ht="14.25" hidden="false" customHeight="false" outlineLevel="0" collapsed="false">
      <c r="A37" s="18"/>
      <c r="B37" s="19"/>
      <c r="C37" s="19" t="s">
        <v>46</v>
      </c>
      <c r="D37" s="16" t="n">
        <v>1</v>
      </c>
      <c r="E37" s="16"/>
      <c r="F37" s="17" t="n">
        <v>1</v>
      </c>
    </row>
    <row r="38" customFormat="false" ht="14.25" hidden="false" customHeight="false" outlineLevel="0" collapsed="false">
      <c r="A38" s="18"/>
      <c r="B38" s="19"/>
      <c r="C38" s="19" t="s">
        <v>47</v>
      </c>
      <c r="D38" s="16" t="n">
        <v>1</v>
      </c>
      <c r="E38" s="16"/>
      <c r="F38" s="17" t="n">
        <v>1</v>
      </c>
    </row>
    <row r="39" customFormat="false" ht="14.25" hidden="false" customHeight="false" outlineLevel="0" collapsed="false">
      <c r="A39" s="18"/>
      <c r="B39" s="19"/>
      <c r="C39" s="19" t="s">
        <v>48</v>
      </c>
      <c r="D39" s="16" t="n">
        <v>1</v>
      </c>
      <c r="E39" s="16"/>
      <c r="F39" s="17" t="n">
        <v>1</v>
      </c>
    </row>
    <row r="40" customFormat="false" ht="14.25" hidden="false" customHeight="false" outlineLevel="0" collapsed="false">
      <c r="A40" s="18"/>
      <c r="B40" s="19"/>
      <c r="C40" s="19" t="s">
        <v>49</v>
      </c>
      <c r="D40" s="16" t="n">
        <v>1</v>
      </c>
      <c r="E40" s="16"/>
      <c r="F40" s="17" t="n">
        <v>1</v>
      </c>
    </row>
    <row r="41" customFormat="false" ht="14.25" hidden="false" customHeight="false" outlineLevel="0" collapsed="false">
      <c r="A41" s="18"/>
      <c r="B41" s="19"/>
      <c r="C41" s="19" t="s">
        <v>50</v>
      </c>
      <c r="D41" s="16" t="n">
        <v>1</v>
      </c>
      <c r="E41" s="16"/>
      <c r="F41" s="17" t="n">
        <v>1</v>
      </c>
    </row>
    <row r="42" customFormat="false" ht="14.25" hidden="false" customHeight="false" outlineLevel="0" collapsed="false">
      <c r="A42" s="18"/>
      <c r="B42" s="19"/>
      <c r="C42" s="19" t="s">
        <v>51</v>
      </c>
      <c r="D42" s="16" t="n">
        <v>1</v>
      </c>
      <c r="E42" s="16"/>
      <c r="F42" s="17" t="n">
        <v>1</v>
      </c>
    </row>
    <row r="43" customFormat="false" ht="14.25" hidden="false" customHeight="false" outlineLevel="0" collapsed="false">
      <c r="A43" s="18"/>
      <c r="B43" s="19"/>
      <c r="C43" s="19" t="s">
        <v>52</v>
      </c>
      <c r="D43" s="16" t="n">
        <v>1</v>
      </c>
      <c r="E43" s="16"/>
      <c r="F43" s="17" t="n">
        <v>1</v>
      </c>
    </row>
    <row r="44" customFormat="false" ht="14.25" hidden="false" customHeight="false" outlineLevel="0" collapsed="false">
      <c r="A44" s="18"/>
      <c r="B44" s="19"/>
      <c r="C44" s="19" t="s">
        <v>53</v>
      </c>
      <c r="D44" s="16" t="n">
        <v>1</v>
      </c>
      <c r="E44" s="16"/>
      <c r="F44" s="17" t="n">
        <v>1</v>
      </c>
    </row>
    <row r="45" customFormat="false" ht="14.25" hidden="false" customHeight="false" outlineLevel="0" collapsed="false">
      <c r="A45" s="20"/>
      <c r="B45" s="21"/>
      <c r="C45" s="21" t="s">
        <v>54</v>
      </c>
      <c r="D45" s="16" t="n">
        <v>1</v>
      </c>
      <c r="E45" s="16"/>
      <c r="F45" s="17" t="n">
        <v>1</v>
      </c>
    </row>
    <row r="46" customFormat="false" ht="14.25" hidden="false" customHeight="false" outlineLevel="0" collapsed="false">
      <c r="A46" s="22" t="s">
        <v>55</v>
      </c>
      <c r="B46" s="23" t="s">
        <v>8</v>
      </c>
      <c r="C46" s="24" t="s">
        <v>56</v>
      </c>
      <c r="D46" s="16" t="n">
        <v>1</v>
      </c>
      <c r="E46" s="16"/>
      <c r="F46" s="17" t="n">
        <v>1</v>
      </c>
    </row>
    <row r="47" customFormat="false" ht="14.25" hidden="false" customHeight="false" outlineLevel="0" collapsed="false">
      <c r="A47" s="22" t="s">
        <v>57</v>
      </c>
      <c r="B47" s="23" t="s">
        <v>8</v>
      </c>
      <c r="C47" s="24" t="s">
        <v>58</v>
      </c>
      <c r="D47" s="16" t="n">
        <v>1</v>
      </c>
      <c r="E47" s="16"/>
      <c r="F47" s="17" t="n">
        <v>1</v>
      </c>
    </row>
    <row r="48" customFormat="false" ht="14.25" hidden="false" customHeight="false" outlineLevel="0" collapsed="false">
      <c r="A48" s="13" t="s">
        <v>59</v>
      </c>
      <c r="B48" s="14" t="s">
        <v>60</v>
      </c>
      <c r="C48" s="15" t="s">
        <v>61</v>
      </c>
      <c r="D48" s="16" t="n">
        <v>1</v>
      </c>
      <c r="E48" s="16"/>
      <c r="F48" s="17" t="n">
        <v>1</v>
      </c>
    </row>
    <row r="49" customFormat="false" ht="14.25" hidden="false" customHeight="false" outlineLevel="0" collapsed="false">
      <c r="A49" s="18"/>
      <c r="B49" s="19"/>
      <c r="C49" s="19" t="s">
        <v>62</v>
      </c>
      <c r="D49" s="16" t="n">
        <v>1</v>
      </c>
      <c r="E49" s="16"/>
      <c r="F49" s="17" t="n">
        <v>1</v>
      </c>
    </row>
    <row r="50" customFormat="false" ht="14.25" hidden="false" customHeight="false" outlineLevel="0" collapsed="false">
      <c r="A50" s="18"/>
      <c r="B50" s="19"/>
      <c r="C50" s="19" t="s">
        <v>63</v>
      </c>
      <c r="D50" s="16" t="n">
        <v>1</v>
      </c>
      <c r="E50" s="16"/>
      <c r="F50" s="17" t="n">
        <v>1</v>
      </c>
    </row>
    <row r="51" customFormat="false" ht="14.25" hidden="false" customHeight="false" outlineLevel="0" collapsed="false">
      <c r="A51" s="18"/>
      <c r="B51" s="19"/>
      <c r="C51" s="19" t="s">
        <v>64</v>
      </c>
      <c r="D51" s="16" t="n">
        <v>1</v>
      </c>
      <c r="E51" s="16"/>
      <c r="F51" s="17" t="n">
        <v>1</v>
      </c>
    </row>
    <row r="52" customFormat="false" ht="14.25" hidden="false" customHeight="false" outlineLevel="0" collapsed="false">
      <c r="A52" s="18"/>
      <c r="B52" s="19"/>
      <c r="C52" s="19" t="s">
        <v>65</v>
      </c>
      <c r="D52" s="16" t="n">
        <v>6</v>
      </c>
      <c r="E52" s="16"/>
      <c r="F52" s="17" t="n">
        <v>6</v>
      </c>
    </row>
    <row r="53" customFormat="false" ht="14.25" hidden="false" customHeight="false" outlineLevel="0" collapsed="false">
      <c r="A53" s="20"/>
      <c r="B53" s="21"/>
      <c r="C53" s="21" t="s">
        <v>66</v>
      </c>
      <c r="D53" s="16" t="n">
        <v>1</v>
      </c>
      <c r="E53" s="16"/>
      <c r="F53" s="17" t="n">
        <v>1</v>
      </c>
    </row>
    <row r="54" customFormat="false" ht="14.25" hidden="false" customHeight="false" outlineLevel="0" collapsed="false">
      <c r="A54" s="13" t="s">
        <v>67</v>
      </c>
      <c r="B54" s="14" t="s">
        <v>68</v>
      </c>
      <c r="C54" s="15" t="s">
        <v>69</v>
      </c>
      <c r="D54" s="16" t="n">
        <v>1</v>
      </c>
      <c r="E54" s="16"/>
      <c r="F54" s="17" t="n">
        <v>1</v>
      </c>
    </row>
    <row r="55" customFormat="false" ht="14.25" hidden="false" customHeight="false" outlineLevel="0" collapsed="false">
      <c r="A55" s="18"/>
      <c r="B55" s="19"/>
      <c r="C55" s="19" t="s">
        <v>70</v>
      </c>
      <c r="D55" s="16" t="n">
        <v>1</v>
      </c>
      <c r="E55" s="16"/>
      <c r="F55" s="17" t="n">
        <v>1</v>
      </c>
    </row>
    <row r="56" customFormat="false" ht="14.25" hidden="false" customHeight="false" outlineLevel="0" collapsed="false">
      <c r="A56" s="18"/>
      <c r="B56" s="19"/>
      <c r="C56" s="19" t="s">
        <v>71</v>
      </c>
      <c r="D56" s="16" t="n">
        <v>1</v>
      </c>
      <c r="E56" s="16"/>
      <c r="F56" s="17" t="n">
        <v>1</v>
      </c>
    </row>
    <row r="57" customFormat="false" ht="14.25" hidden="false" customHeight="false" outlineLevel="0" collapsed="false">
      <c r="A57" s="20"/>
      <c r="B57" s="21"/>
      <c r="C57" s="21" t="s">
        <v>72</v>
      </c>
      <c r="D57" s="16" t="n">
        <v>1</v>
      </c>
      <c r="E57" s="16"/>
      <c r="F57" s="17" t="n">
        <v>1</v>
      </c>
    </row>
    <row r="58" customFormat="false" ht="14.25" hidden="false" customHeight="false" outlineLevel="0" collapsed="false">
      <c r="A58" s="13" t="s">
        <v>73</v>
      </c>
      <c r="B58" s="14" t="s">
        <v>68</v>
      </c>
      <c r="C58" s="15" t="s">
        <v>74</v>
      </c>
      <c r="D58" s="16" t="n">
        <v>1</v>
      </c>
      <c r="E58" s="16"/>
      <c r="F58" s="17" t="n">
        <v>1</v>
      </c>
    </row>
    <row r="59" customFormat="false" ht="14.25" hidden="false" customHeight="false" outlineLevel="0" collapsed="false">
      <c r="A59" s="18"/>
      <c r="B59" s="19"/>
      <c r="C59" s="19" t="s">
        <v>75</v>
      </c>
      <c r="D59" s="16" t="n">
        <v>1</v>
      </c>
      <c r="E59" s="16"/>
      <c r="F59" s="17" t="n">
        <v>1</v>
      </c>
    </row>
    <row r="60" customFormat="false" ht="14.25" hidden="false" customHeight="false" outlineLevel="0" collapsed="false">
      <c r="A60" s="18"/>
      <c r="B60" s="19"/>
      <c r="C60" s="19" t="s">
        <v>76</v>
      </c>
      <c r="D60" s="16" t="n">
        <v>1</v>
      </c>
      <c r="E60" s="16"/>
      <c r="F60" s="17" t="n">
        <v>1</v>
      </c>
    </row>
    <row r="61" customFormat="false" ht="14.25" hidden="false" customHeight="false" outlineLevel="0" collapsed="false">
      <c r="A61" s="18"/>
      <c r="B61" s="19"/>
      <c r="C61" s="19" t="s">
        <v>77</v>
      </c>
      <c r="D61" s="16" t="n">
        <v>1</v>
      </c>
      <c r="E61" s="16"/>
      <c r="F61" s="17" t="n">
        <v>1</v>
      </c>
    </row>
    <row r="62" customFormat="false" ht="14.25" hidden="false" customHeight="false" outlineLevel="0" collapsed="false">
      <c r="A62" s="18"/>
      <c r="B62" s="19"/>
      <c r="C62" s="19" t="s">
        <v>78</v>
      </c>
      <c r="D62" s="16" t="n">
        <v>1</v>
      </c>
      <c r="E62" s="16"/>
      <c r="F62" s="17" t="n">
        <v>1</v>
      </c>
    </row>
    <row r="63" customFormat="false" ht="14.25" hidden="false" customHeight="false" outlineLevel="0" collapsed="false">
      <c r="A63" s="18"/>
      <c r="B63" s="19"/>
      <c r="C63" s="19" t="s">
        <v>79</v>
      </c>
      <c r="D63" s="16" t="n">
        <v>1</v>
      </c>
      <c r="E63" s="16"/>
      <c r="F63" s="17" t="n">
        <v>1</v>
      </c>
    </row>
    <row r="64" customFormat="false" ht="14.25" hidden="false" customHeight="false" outlineLevel="0" collapsed="false">
      <c r="A64" s="18"/>
      <c r="B64" s="19"/>
      <c r="C64" s="19" t="s">
        <v>80</v>
      </c>
      <c r="D64" s="16" t="n">
        <v>1</v>
      </c>
      <c r="E64" s="16"/>
      <c r="F64" s="17" t="n">
        <v>1</v>
      </c>
    </row>
    <row r="65" customFormat="false" ht="14.25" hidden="false" customHeight="false" outlineLevel="0" collapsed="false">
      <c r="A65" s="18"/>
      <c r="B65" s="19"/>
      <c r="C65" s="19" t="s">
        <v>81</v>
      </c>
      <c r="D65" s="16" t="n">
        <v>1</v>
      </c>
      <c r="E65" s="16"/>
      <c r="F65" s="17" t="n">
        <v>1</v>
      </c>
    </row>
    <row r="66" customFormat="false" ht="14.25" hidden="false" customHeight="false" outlineLevel="0" collapsed="false">
      <c r="A66" s="18"/>
      <c r="B66" s="19"/>
      <c r="C66" s="19" t="s">
        <v>72</v>
      </c>
      <c r="D66" s="16" t="n">
        <v>1</v>
      </c>
      <c r="E66" s="16"/>
      <c r="F66" s="17" t="n">
        <v>1</v>
      </c>
    </row>
    <row r="67" customFormat="false" ht="14.25" hidden="false" customHeight="false" outlineLevel="0" collapsed="false">
      <c r="A67" s="18"/>
      <c r="B67" s="21"/>
      <c r="C67" s="21" t="s">
        <v>82</v>
      </c>
      <c r="D67" s="16" t="n">
        <v>1</v>
      </c>
      <c r="E67" s="16"/>
      <c r="F67" s="17" t="n">
        <v>1</v>
      </c>
    </row>
    <row r="68" customFormat="false" ht="14.25" hidden="false" customHeight="false" outlineLevel="0" collapsed="false">
      <c r="A68" s="18"/>
      <c r="B68" s="14" t="s">
        <v>60</v>
      </c>
      <c r="C68" s="15" t="s">
        <v>83</v>
      </c>
      <c r="D68" s="16" t="n">
        <v>1</v>
      </c>
      <c r="E68" s="16"/>
      <c r="F68" s="17" t="n">
        <v>1</v>
      </c>
    </row>
    <row r="69" customFormat="false" ht="14.25" hidden="false" customHeight="false" outlineLevel="0" collapsed="false">
      <c r="A69" s="20"/>
      <c r="B69" s="21"/>
      <c r="C69" s="21" t="s">
        <v>84</v>
      </c>
      <c r="D69" s="16" t="n">
        <v>1</v>
      </c>
      <c r="E69" s="16"/>
      <c r="F69" s="17" t="n">
        <v>1</v>
      </c>
    </row>
    <row r="70" customFormat="false" ht="14.25" hidden="false" customHeight="false" outlineLevel="0" collapsed="false">
      <c r="A70" s="13" t="s">
        <v>85</v>
      </c>
      <c r="B70" s="23" t="s">
        <v>21</v>
      </c>
      <c r="C70" s="24" t="s">
        <v>86</v>
      </c>
      <c r="D70" s="16" t="n">
        <v>1</v>
      </c>
      <c r="E70" s="16"/>
      <c r="F70" s="17" t="n">
        <v>1</v>
      </c>
    </row>
    <row r="71" customFormat="false" ht="14.25" hidden="false" customHeight="false" outlineLevel="0" collapsed="false">
      <c r="A71" s="20"/>
      <c r="B71" s="23" t="s">
        <v>8</v>
      </c>
      <c r="C71" s="24" t="s">
        <v>87</v>
      </c>
      <c r="D71" s="16" t="n">
        <v>1</v>
      </c>
      <c r="E71" s="16"/>
      <c r="F71" s="17" t="n">
        <v>1</v>
      </c>
    </row>
    <row r="72" customFormat="false" ht="14.25" hidden="false" customHeight="false" outlineLevel="0" collapsed="false">
      <c r="A72" s="22" t="s">
        <v>88</v>
      </c>
      <c r="B72" s="23" t="s">
        <v>8</v>
      </c>
      <c r="C72" s="24" t="s">
        <v>89</v>
      </c>
      <c r="D72" s="16" t="n">
        <v>1</v>
      </c>
      <c r="E72" s="16"/>
      <c r="F72" s="17" t="n">
        <v>1</v>
      </c>
    </row>
    <row r="73" customFormat="false" ht="14.25" hidden="false" customHeight="false" outlineLevel="0" collapsed="false">
      <c r="A73" s="22" t="s">
        <v>90</v>
      </c>
      <c r="B73" s="23" t="s">
        <v>8</v>
      </c>
      <c r="C73" s="24" t="s">
        <v>91</v>
      </c>
      <c r="D73" s="16" t="n">
        <v>1</v>
      </c>
      <c r="E73" s="16"/>
      <c r="F73" s="17" t="n">
        <v>1</v>
      </c>
    </row>
    <row r="74" customFormat="false" ht="14.25" hidden="false" customHeight="false" outlineLevel="0" collapsed="false">
      <c r="A74" s="22" t="s">
        <v>92</v>
      </c>
      <c r="B74" s="23" t="s">
        <v>8</v>
      </c>
      <c r="C74" s="24" t="s">
        <v>93</v>
      </c>
      <c r="D74" s="16" t="n">
        <v>1</v>
      </c>
      <c r="E74" s="16"/>
      <c r="F74" s="17" t="n">
        <v>1</v>
      </c>
    </row>
    <row r="75" customFormat="false" ht="14.25" hidden="false" customHeight="false" outlineLevel="0" collapsed="false">
      <c r="A75" s="22" t="s">
        <v>94</v>
      </c>
      <c r="B75" s="23" t="s">
        <v>8</v>
      </c>
      <c r="C75" s="24" t="s">
        <v>95</v>
      </c>
      <c r="D75" s="16" t="n">
        <v>1</v>
      </c>
      <c r="E75" s="16"/>
      <c r="F75" s="17" t="n">
        <v>1</v>
      </c>
    </row>
    <row r="76" customFormat="false" ht="14.25" hidden="false" customHeight="false" outlineLevel="0" collapsed="false">
      <c r="A76" s="22" t="s">
        <v>96</v>
      </c>
      <c r="B76" s="23" t="s">
        <v>21</v>
      </c>
      <c r="C76" s="24" t="s">
        <v>97</v>
      </c>
      <c r="D76" s="16" t="n">
        <v>1</v>
      </c>
      <c r="E76" s="16"/>
      <c r="F76" s="17" t="n">
        <v>1</v>
      </c>
    </row>
    <row r="77" customFormat="false" ht="14.25" hidden="false" customHeight="false" outlineLevel="0" collapsed="false">
      <c r="A77" s="22" t="s">
        <v>98</v>
      </c>
      <c r="B77" s="23" t="s">
        <v>21</v>
      </c>
      <c r="C77" s="24" t="s">
        <v>99</v>
      </c>
      <c r="D77" s="16" t="n">
        <v>1</v>
      </c>
      <c r="E77" s="16"/>
      <c r="F77" s="17" t="n">
        <v>1</v>
      </c>
    </row>
    <row r="78" customFormat="false" ht="14.25" hidden="false" customHeight="false" outlineLevel="0" collapsed="false">
      <c r="A78" s="22" t="s">
        <v>100</v>
      </c>
      <c r="B78" s="23" t="s">
        <v>60</v>
      </c>
      <c r="C78" s="24" t="s">
        <v>101</v>
      </c>
      <c r="D78" s="16" t="n">
        <v>1</v>
      </c>
      <c r="E78" s="16"/>
      <c r="F78" s="17" t="n">
        <v>1</v>
      </c>
    </row>
    <row r="79" customFormat="false" ht="14.25" hidden="false" customHeight="false" outlineLevel="0" collapsed="false">
      <c r="A79" s="22" t="s">
        <v>102</v>
      </c>
      <c r="B79" s="23" t="s">
        <v>21</v>
      </c>
      <c r="C79" s="24" t="s">
        <v>103</v>
      </c>
      <c r="D79" s="16" t="n">
        <v>1</v>
      </c>
      <c r="E79" s="16"/>
      <c r="F79" s="17" t="n">
        <v>1</v>
      </c>
    </row>
    <row r="80" customFormat="false" ht="14.25" hidden="false" customHeight="false" outlineLevel="0" collapsed="false">
      <c r="A80" s="22" t="s">
        <v>104</v>
      </c>
      <c r="B80" s="23" t="s">
        <v>42</v>
      </c>
      <c r="C80" s="24" t="s">
        <v>105</v>
      </c>
      <c r="D80" s="16" t="n">
        <v>1</v>
      </c>
      <c r="E80" s="16"/>
      <c r="F80" s="17" t="n">
        <v>1</v>
      </c>
    </row>
    <row r="81" customFormat="false" ht="14.25" hidden="false" customHeight="false" outlineLevel="0" collapsed="false">
      <c r="A81" s="22" t="s">
        <v>106</v>
      </c>
      <c r="B81" s="23" t="s">
        <v>42</v>
      </c>
      <c r="C81" s="24" t="s">
        <v>53</v>
      </c>
      <c r="D81" s="16" t="n">
        <v>1</v>
      </c>
      <c r="E81" s="16"/>
      <c r="F81" s="17" t="n">
        <v>1</v>
      </c>
    </row>
    <row r="82" customFormat="false" ht="14.25" hidden="false" customHeight="false" outlineLevel="0" collapsed="false">
      <c r="A82" s="22" t="s">
        <v>107</v>
      </c>
      <c r="B82" s="23" t="s">
        <v>42</v>
      </c>
      <c r="C82" s="24" t="s">
        <v>108</v>
      </c>
      <c r="D82" s="16" t="n">
        <v>1</v>
      </c>
      <c r="E82" s="16"/>
      <c r="F82" s="17" t="n">
        <v>1</v>
      </c>
    </row>
    <row r="83" customFormat="false" ht="14.25" hidden="false" customHeight="false" outlineLevel="0" collapsed="false">
      <c r="A83" s="22" t="s">
        <v>109</v>
      </c>
      <c r="B83" s="23" t="s">
        <v>68</v>
      </c>
      <c r="C83" s="24" t="s">
        <v>110</v>
      </c>
      <c r="D83" s="16" t="n">
        <v>1</v>
      </c>
      <c r="E83" s="16"/>
      <c r="F83" s="17" t="n">
        <v>1</v>
      </c>
    </row>
    <row r="84" customFormat="false" ht="14.25" hidden="false" customHeight="false" outlineLevel="0" collapsed="false">
      <c r="A84" s="22" t="s">
        <v>111</v>
      </c>
      <c r="B84" s="23" t="s">
        <v>68</v>
      </c>
      <c r="C84" s="24" t="s">
        <v>112</v>
      </c>
      <c r="D84" s="16" t="n">
        <v>1</v>
      </c>
      <c r="E84" s="16"/>
      <c r="F84" s="17" t="n">
        <v>1</v>
      </c>
    </row>
    <row r="85" customFormat="false" ht="14.25" hidden="false" customHeight="false" outlineLevel="0" collapsed="false">
      <c r="A85" s="13" t="s">
        <v>113</v>
      </c>
      <c r="B85" s="23" t="s">
        <v>68</v>
      </c>
      <c r="C85" s="24" t="s">
        <v>114</v>
      </c>
      <c r="D85" s="16" t="n">
        <v>1</v>
      </c>
      <c r="E85" s="16"/>
      <c r="F85" s="17" t="n">
        <v>1</v>
      </c>
    </row>
    <row r="86" customFormat="false" ht="14.25" hidden="false" customHeight="false" outlineLevel="0" collapsed="false">
      <c r="A86" s="18"/>
      <c r="B86" s="14" t="s">
        <v>42</v>
      </c>
      <c r="C86" s="15" t="s">
        <v>115</v>
      </c>
      <c r="D86" s="16" t="n">
        <v>1</v>
      </c>
      <c r="E86" s="16"/>
      <c r="F86" s="17" t="n">
        <v>1</v>
      </c>
    </row>
    <row r="87" customFormat="false" ht="14.25" hidden="false" customHeight="false" outlineLevel="0" collapsed="false">
      <c r="A87" s="18"/>
      <c r="B87" s="21"/>
      <c r="C87" s="21" t="s">
        <v>116</v>
      </c>
      <c r="D87" s="16" t="n">
        <v>1</v>
      </c>
      <c r="E87" s="16"/>
      <c r="F87" s="17" t="n">
        <v>1</v>
      </c>
    </row>
    <row r="88" customFormat="false" ht="14.25" hidden="false" customHeight="false" outlineLevel="0" collapsed="false">
      <c r="A88" s="18"/>
      <c r="B88" s="23" t="s">
        <v>8</v>
      </c>
      <c r="C88" s="24" t="s">
        <v>117</v>
      </c>
      <c r="D88" s="16" t="n">
        <v>1</v>
      </c>
      <c r="E88" s="16"/>
      <c r="F88" s="17" t="n">
        <v>1</v>
      </c>
    </row>
    <row r="89" customFormat="false" ht="14.25" hidden="false" customHeight="false" outlineLevel="0" collapsed="false">
      <c r="A89" s="18"/>
      <c r="B89" s="14" t="s">
        <v>60</v>
      </c>
      <c r="C89" s="15" t="s">
        <v>118</v>
      </c>
      <c r="D89" s="16" t="n">
        <v>1</v>
      </c>
      <c r="E89" s="16"/>
      <c r="F89" s="17" t="n">
        <v>1</v>
      </c>
    </row>
    <row r="90" customFormat="false" ht="14.25" hidden="false" customHeight="false" outlineLevel="0" collapsed="false">
      <c r="A90" s="20"/>
      <c r="B90" s="21"/>
      <c r="C90" s="21" t="s">
        <v>119</v>
      </c>
      <c r="D90" s="16" t="n">
        <v>1</v>
      </c>
      <c r="E90" s="16"/>
      <c r="F90" s="17" t="n">
        <v>1</v>
      </c>
    </row>
    <row r="91" customFormat="false" ht="14.25" hidden="false" customHeight="false" outlineLevel="0" collapsed="false">
      <c r="A91" s="13" t="s">
        <v>120</v>
      </c>
      <c r="B91" s="14" t="s">
        <v>21</v>
      </c>
      <c r="C91" s="15" t="s">
        <v>121</v>
      </c>
      <c r="D91" s="16" t="n">
        <v>1</v>
      </c>
      <c r="E91" s="16"/>
      <c r="F91" s="17" t="n">
        <v>1</v>
      </c>
    </row>
    <row r="92" customFormat="false" ht="14.25" hidden="false" customHeight="false" outlineLevel="0" collapsed="false">
      <c r="A92" s="18"/>
      <c r="B92" s="19"/>
      <c r="C92" s="19" t="s">
        <v>122</v>
      </c>
      <c r="D92" s="16" t="n">
        <v>1</v>
      </c>
      <c r="E92" s="16"/>
      <c r="F92" s="17" t="n">
        <v>1</v>
      </c>
    </row>
    <row r="93" customFormat="false" ht="14.25" hidden="false" customHeight="false" outlineLevel="0" collapsed="false">
      <c r="A93" s="18"/>
      <c r="B93" s="19"/>
      <c r="C93" s="19" t="s">
        <v>123</v>
      </c>
      <c r="D93" s="16" t="n">
        <v>1</v>
      </c>
      <c r="E93" s="16"/>
      <c r="F93" s="17" t="n">
        <v>1</v>
      </c>
    </row>
    <row r="94" customFormat="false" ht="14.25" hidden="false" customHeight="false" outlineLevel="0" collapsed="false">
      <c r="A94" s="20"/>
      <c r="B94" s="21"/>
      <c r="C94" s="21" t="s">
        <v>124</v>
      </c>
      <c r="D94" s="16" t="n">
        <v>3</v>
      </c>
      <c r="E94" s="16"/>
      <c r="F94" s="17" t="n">
        <v>3</v>
      </c>
    </row>
    <row r="95" customFormat="false" ht="14.25" hidden="false" customHeight="false" outlineLevel="0" collapsed="false">
      <c r="A95" s="13" t="s">
        <v>125</v>
      </c>
      <c r="B95" s="14" t="s">
        <v>68</v>
      </c>
      <c r="C95" s="15" t="s">
        <v>126</v>
      </c>
      <c r="D95" s="16" t="n">
        <v>1</v>
      </c>
      <c r="E95" s="16"/>
      <c r="F95" s="17" t="n">
        <v>1</v>
      </c>
    </row>
    <row r="96" customFormat="false" ht="14.25" hidden="false" customHeight="false" outlineLevel="0" collapsed="false">
      <c r="A96" s="18"/>
      <c r="B96" s="19"/>
      <c r="C96" s="19" t="s">
        <v>127</v>
      </c>
      <c r="D96" s="16" t="n">
        <v>1</v>
      </c>
      <c r="E96" s="16"/>
      <c r="F96" s="17" t="n">
        <v>1</v>
      </c>
    </row>
    <row r="97" customFormat="false" ht="14.25" hidden="false" customHeight="false" outlineLevel="0" collapsed="false">
      <c r="A97" s="18"/>
      <c r="B97" s="19"/>
      <c r="C97" s="19" t="s">
        <v>128</v>
      </c>
      <c r="D97" s="16" t="n">
        <v>1</v>
      </c>
      <c r="E97" s="16"/>
      <c r="F97" s="17" t="n">
        <v>1</v>
      </c>
    </row>
    <row r="98" customFormat="false" ht="14.25" hidden="false" customHeight="false" outlineLevel="0" collapsed="false">
      <c r="A98" s="18"/>
      <c r="B98" s="19"/>
      <c r="C98" s="19" t="s">
        <v>129</v>
      </c>
      <c r="D98" s="16" t="n">
        <v>1</v>
      </c>
      <c r="E98" s="16"/>
      <c r="F98" s="17" t="n">
        <v>1</v>
      </c>
    </row>
    <row r="99" customFormat="false" ht="14.25" hidden="false" customHeight="false" outlineLevel="0" collapsed="false">
      <c r="A99" s="18"/>
      <c r="B99" s="21"/>
      <c r="C99" s="21" t="s">
        <v>130</v>
      </c>
      <c r="D99" s="16" t="n">
        <v>1</v>
      </c>
      <c r="E99" s="16"/>
      <c r="F99" s="17" t="n">
        <v>1</v>
      </c>
    </row>
    <row r="100" customFormat="false" ht="14.25" hidden="false" customHeight="false" outlineLevel="0" collapsed="false">
      <c r="A100" s="20"/>
      <c r="B100" s="23" t="s">
        <v>42</v>
      </c>
      <c r="C100" s="24" t="s">
        <v>131</v>
      </c>
      <c r="D100" s="16" t="n">
        <v>1</v>
      </c>
      <c r="E100" s="16"/>
      <c r="F100" s="17" t="n">
        <v>1</v>
      </c>
    </row>
    <row r="101" customFormat="false" ht="14.25" hidden="false" customHeight="false" outlineLevel="0" collapsed="false">
      <c r="A101" s="22" t="s">
        <v>5</v>
      </c>
      <c r="B101" s="23" t="s">
        <v>5</v>
      </c>
      <c r="C101" s="24" t="s">
        <v>5</v>
      </c>
      <c r="D101" s="16"/>
      <c r="E101" s="16"/>
      <c r="F101" s="17"/>
    </row>
    <row r="102" customFormat="false" ht="14.25" hidden="false" customHeight="false" outlineLevel="0" collapsed="false">
      <c r="A102" s="25" t="s">
        <v>6</v>
      </c>
      <c r="B102" s="26"/>
      <c r="C102" s="27"/>
      <c r="D102" s="28" t="n">
        <v>105</v>
      </c>
      <c r="E102" s="28"/>
      <c r="F102" s="29" t="n">
        <v>105</v>
      </c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2" activePane="bottomLeft" state="frozen"/>
      <selection pane="topLeft" activeCell="A1" activeCellId="0" sqref="A1"/>
      <selection pane="bottomLeft" activeCell="B1" activeCellId="0" sqref="B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.27"/>
    <col collapsed="false" customWidth="true" hidden="false" outlineLevel="0" max="4" min="2" style="1" width="11.82"/>
    <col collapsed="false" customWidth="true" hidden="false" outlineLevel="0" max="5" min="5" style="1" width="11.18"/>
    <col collapsed="false" customWidth="true" hidden="false" outlineLevel="0" max="6" min="6" style="30" width="25.18"/>
    <col collapsed="false" customWidth="true" hidden="false" outlineLevel="0" max="7" min="7" style="30" width="12.73"/>
    <col collapsed="false" customWidth="true" hidden="false" outlineLevel="0" max="8" min="8" style="30" width="11.54"/>
    <col collapsed="false" customWidth="true" hidden="false" outlineLevel="0" max="10" min="9" style="30" width="16.45"/>
    <col collapsed="false" customWidth="true" hidden="false" outlineLevel="0" max="11" min="11" style="1" width="16.82"/>
    <col collapsed="false" customWidth="true" hidden="false" outlineLevel="0" max="12" min="12" style="30" width="23"/>
    <col collapsed="false" customWidth="true" hidden="false" outlineLevel="0" max="13" min="13" style="1" width="10.54"/>
    <col collapsed="false" customWidth="true" hidden="false" outlineLevel="0" max="14" min="14" style="1" width="12.45"/>
    <col collapsed="false" customWidth="true" hidden="false" outlineLevel="0" max="15" min="15" style="1" width="12.82"/>
  </cols>
  <sheetData>
    <row r="1" customFormat="false" ht="14.25" hidden="false" customHeight="false" outlineLevel="0" collapsed="false">
      <c r="K1" s="31" t="s">
        <v>132</v>
      </c>
      <c r="L1" s="31"/>
      <c r="M1" s="31"/>
    </row>
    <row r="2" customFormat="false" ht="14.25" hidden="false" customHeight="false" outlineLevel="0" collapsed="false">
      <c r="B2" s="32" t="s">
        <v>133</v>
      </c>
      <c r="C2" s="32" t="s">
        <v>134</v>
      </c>
      <c r="D2" s="32" t="s">
        <v>135</v>
      </c>
      <c r="E2" s="32" t="s">
        <v>3</v>
      </c>
      <c r="F2" s="32" t="s">
        <v>4</v>
      </c>
      <c r="G2" s="32" t="s">
        <v>136</v>
      </c>
      <c r="H2" s="32" t="s">
        <v>137</v>
      </c>
      <c r="I2" s="32" t="s">
        <v>138</v>
      </c>
      <c r="J2" s="32" t="s">
        <v>139</v>
      </c>
      <c r="K2" s="33" t="s">
        <v>2</v>
      </c>
      <c r="L2" s="32" t="s">
        <v>140</v>
      </c>
      <c r="M2" s="32" t="s">
        <v>1</v>
      </c>
      <c r="N2" s="32" t="s">
        <v>141</v>
      </c>
      <c r="O2" s="34" t="s">
        <v>142</v>
      </c>
      <c r="P2" s="34" t="s">
        <v>143</v>
      </c>
      <c r="Q2" s="34" t="s">
        <v>144</v>
      </c>
    </row>
    <row r="3" customFormat="false" ht="14.25" hidden="false" customHeight="false" outlineLevel="0" collapsed="false">
      <c r="B3" s="35" t="n">
        <v>14</v>
      </c>
      <c r="C3" s="35" t="n">
        <v>1</v>
      </c>
      <c r="D3" s="35" t="s">
        <v>145</v>
      </c>
      <c r="E3" s="35" t="s">
        <v>68</v>
      </c>
      <c r="F3" s="35" t="s">
        <v>69</v>
      </c>
      <c r="G3" s="35"/>
      <c r="H3" s="35"/>
      <c r="I3" s="35"/>
      <c r="J3" s="35"/>
      <c r="K3" s="35" t="s">
        <v>67</v>
      </c>
      <c r="L3" s="36" t="n">
        <f aca="false">IFERROR(VLOOKUP(K3,Condensadoras!$A$2:$H$77,5,0),"")</f>
        <v>0</v>
      </c>
      <c r="M3" s="36" t="n">
        <f aca="false">IFERROR(VLOOKUP(K3,Condensadoras!$A$2:$H$77,6,0),"")</f>
        <v>0</v>
      </c>
      <c r="N3" s="37" t="n">
        <v>39083</v>
      </c>
      <c r="O3" s="38" t="s">
        <v>146</v>
      </c>
    </row>
    <row r="4" customFormat="false" ht="14.25" hidden="false" customHeight="false" outlineLevel="0" collapsed="false">
      <c r="B4" s="35" t="n">
        <v>18</v>
      </c>
      <c r="C4" s="35" t="n">
        <v>1</v>
      </c>
      <c r="D4" s="35" t="s">
        <v>145</v>
      </c>
      <c r="E4" s="35" t="s">
        <v>68</v>
      </c>
      <c r="F4" s="35" t="s">
        <v>71</v>
      </c>
      <c r="G4" s="35"/>
      <c r="H4" s="35"/>
      <c r="I4" s="35"/>
      <c r="J4" s="35"/>
      <c r="K4" s="35" t="s">
        <v>67</v>
      </c>
      <c r="L4" s="36" t="n">
        <f aca="false">IFERROR(VLOOKUP(K4,Condensadoras!$A$2:$H$77,5,0),"")</f>
        <v>0</v>
      </c>
      <c r="M4" s="36" t="n">
        <f aca="false">IFERROR(VLOOKUP(K4,Condensadoras!$A$2:$H$77,6,0),"")</f>
        <v>0</v>
      </c>
      <c r="N4" s="37" t="n">
        <v>39083</v>
      </c>
      <c r="O4" s="38" t="s">
        <v>146</v>
      </c>
    </row>
    <row r="5" customFormat="false" ht="14.25" hidden="false" customHeight="false" outlineLevel="0" collapsed="false">
      <c r="B5" s="35" t="n">
        <v>19</v>
      </c>
      <c r="C5" s="35" t="n">
        <v>1</v>
      </c>
      <c r="D5" s="35" t="s">
        <v>145</v>
      </c>
      <c r="E5" s="35" t="s">
        <v>68</v>
      </c>
      <c r="F5" s="35" t="s">
        <v>72</v>
      </c>
      <c r="G5" s="35"/>
      <c r="H5" s="35"/>
      <c r="I5" s="35"/>
      <c r="J5" s="35"/>
      <c r="K5" s="35" t="s">
        <v>67</v>
      </c>
      <c r="L5" s="36" t="n">
        <f aca="false">IFERROR(VLOOKUP(K5,Condensadoras!$A$2:$H$77,5,0),"")</f>
        <v>0</v>
      </c>
      <c r="M5" s="36" t="n">
        <f aca="false">IFERROR(VLOOKUP(K5,Condensadoras!$A$2:$H$77,6,0),"")</f>
        <v>0</v>
      </c>
      <c r="N5" s="37" t="n">
        <v>39083</v>
      </c>
      <c r="O5" s="38" t="s">
        <v>146</v>
      </c>
    </row>
    <row r="6" customFormat="false" ht="14.25" hidden="false" customHeight="false" outlineLevel="0" collapsed="false">
      <c r="B6" s="35" t="n">
        <v>21</v>
      </c>
      <c r="C6" s="35" t="n">
        <v>1</v>
      </c>
      <c r="D6" s="35" t="s">
        <v>145</v>
      </c>
      <c r="E6" s="35" t="s">
        <v>68</v>
      </c>
      <c r="F6" s="35" t="s">
        <v>70</v>
      </c>
      <c r="G6" s="35"/>
      <c r="H6" s="35"/>
      <c r="I6" s="35"/>
      <c r="J6" s="35"/>
      <c r="K6" s="35" t="s">
        <v>67</v>
      </c>
      <c r="L6" s="36" t="n">
        <f aca="false">IFERROR(VLOOKUP(K6,Condensadoras!$A$2:$H$77,5,0),"")</f>
        <v>0</v>
      </c>
      <c r="M6" s="36" t="n">
        <f aca="false">IFERROR(VLOOKUP(K6,Condensadoras!$A$2:$H$77,6,0),"")</f>
        <v>0</v>
      </c>
      <c r="N6" s="37" t="n">
        <v>39083</v>
      </c>
      <c r="O6" s="38" t="s">
        <v>146</v>
      </c>
    </row>
    <row r="7" customFormat="false" ht="14.25" hidden="false" customHeight="false" outlineLevel="0" collapsed="false">
      <c r="B7" s="35" t="n">
        <v>9</v>
      </c>
      <c r="C7" s="35" t="n">
        <v>1</v>
      </c>
      <c r="D7" s="35" t="s">
        <v>145</v>
      </c>
      <c r="E7" s="35" t="s">
        <v>68</v>
      </c>
      <c r="F7" s="35" t="s">
        <v>77</v>
      </c>
      <c r="G7" s="35"/>
      <c r="H7" s="35"/>
      <c r="I7" s="35"/>
      <c r="J7" s="35"/>
      <c r="K7" s="35" t="s">
        <v>73</v>
      </c>
      <c r="L7" s="36" t="n">
        <f aca="false">IFERROR(VLOOKUP(K7,Condensadoras!$A$2:$H$77,5,0),"")</f>
        <v>0</v>
      </c>
      <c r="M7" s="36" t="n">
        <f aca="false">IFERROR(VLOOKUP(K7,Condensadoras!$A$2:$H$77,6,0),"")</f>
        <v>0</v>
      </c>
      <c r="N7" s="37" t="n">
        <v>39083</v>
      </c>
      <c r="O7" s="38" t="s">
        <v>146</v>
      </c>
    </row>
    <row r="8" customFormat="false" ht="14.25" hidden="false" customHeight="false" outlineLevel="0" collapsed="false">
      <c r="B8" s="35" t="n">
        <v>10</v>
      </c>
      <c r="C8" s="35" t="n">
        <v>1</v>
      </c>
      <c r="D8" s="35" t="s">
        <v>145</v>
      </c>
      <c r="E8" s="35" t="s">
        <v>68</v>
      </c>
      <c r="F8" s="35" t="s">
        <v>74</v>
      </c>
      <c r="G8" s="35"/>
      <c r="H8" s="35"/>
      <c r="I8" s="35"/>
      <c r="J8" s="35"/>
      <c r="K8" s="35" t="s">
        <v>73</v>
      </c>
      <c r="L8" s="36" t="n">
        <f aca="false">IFERROR(VLOOKUP(K8,Condensadoras!$A$2:$H$77,5,0),"")</f>
        <v>0</v>
      </c>
      <c r="M8" s="36" t="n">
        <f aca="false">IFERROR(VLOOKUP(K8,Condensadoras!$A$2:$H$77,6,0),"")</f>
        <v>0</v>
      </c>
      <c r="N8" s="37" t="n">
        <v>39083</v>
      </c>
      <c r="O8" s="38" t="s">
        <v>146</v>
      </c>
    </row>
    <row r="9" customFormat="false" ht="14.25" hidden="false" customHeight="false" outlineLevel="0" collapsed="false">
      <c r="B9" s="35" t="n">
        <v>11</v>
      </c>
      <c r="C9" s="35" t="n">
        <v>1</v>
      </c>
      <c r="D9" s="35" t="s">
        <v>145</v>
      </c>
      <c r="E9" s="35" t="s">
        <v>68</v>
      </c>
      <c r="F9" s="35" t="s">
        <v>75</v>
      </c>
      <c r="G9" s="35"/>
      <c r="H9" s="35"/>
      <c r="I9" s="35"/>
      <c r="J9" s="35"/>
      <c r="K9" s="35" t="s">
        <v>73</v>
      </c>
      <c r="L9" s="36" t="n">
        <f aca="false">IFERROR(VLOOKUP(K9,Condensadoras!$A$2:$H$77,5,0),"")</f>
        <v>0</v>
      </c>
      <c r="M9" s="36" t="n">
        <f aca="false">IFERROR(VLOOKUP(K9,Condensadoras!$A$2:$H$77,6,0),"")</f>
        <v>0</v>
      </c>
      <c r="N9" s="37" t="n">
        <v>39083</v>
      </c>
      <c r="O9" s="38" t="s">
        <v>146</v>
      </c>
    </row>
    <row r="10" customFormat="false" ht="14.25" hidden="false" customHeight="false" outlineLevel="0" collapsed="false">
      <c r="B10" s="35" t="n">
        <v>11</v>
      </c>
      <c r="C10" s="35" t="n">
        <v>1</v>
      </c>
      <c r="D10" s="35" t="s">
        <v>145</v>
      </c>
      <c r="E10" s="35" t="s">
        <v>68</v>
      </c>
      <c r="F10" s="35" t="s">
        <v>81</v>
      </c>
      <c r="G10" s="35"/>
      <c r="H10" s="35"/>
      <c r="I10" s="35"/>
      <c r="J10" s="35"/>
      <c r="K10" s="35" t="s">
        <v>73</v>
      </c>
      <c r="L10" s="36" t="n">
        <f aca="false">IFERROR(VLOOKUP(K10,Condensadoras!$A$2:$H$77,5,0),"")</f>
        <v>0</v>
      </c>
      <c r="M10" s="36" t="n">
        <f aca="false">IFERROR(VLOOKUP(K10,Condensadoras!$A$2:$H$77,6,0),"")</f>
        <v>0</v>
      </c>
      <c r="N10" s="37" t="n">
        <v>39083</v>
      </c>
      <c r="O10" s="38" t="s">
        <v>146</v>
      </c>
    </row>
    <row r="11" customFormat="false" ht="14.25" hidden="false" customHeight="false" outlineLevel="0" collapsed="false">
      <c r="B11" s="35" t="n">
        <v>12</v>
      </c>
      <c r="C11" s="35" t="n">
        <v>1</v>
      </c>
      <c r="D11" s="35" t="s">
        <v>145</v>
      </c>
      <c r="E11" s="35" t="s">
        <v>68</v>
      </c>
      <c r="F11" s="35" t="s">
        <v>76</v>
      </c>
      <c r="G11" s="35"/>
      <c r="H11" s="35"/>
      <c r="I11" s="35"/>
      <c r="J11" s="35"/>
      <c r="K11" s="35" t="s">
        <v>73</v>
      </c>
      <c r="L11" s="36" t="n">
        <f aca="false">IFERROR(VLOOKUP(K11,Condensadoras!$A$2:$H$77,5,0),"")</f>
        <v>0</v>
      </c>
      <c r="M11" s="36" t="n">
        <f aca="false">IFERROR(VLOOKUP(K11,Condensadoras!$A$2:$H$77,6,0),"")</f>
        <v>0</v>
      </c>
      <c r="N11" s="37" t="n">
        <v>39083</v>
      </c>
      <c r="O11" s="38" t="s">
        <v>146</v>
      </c>
    </row>
    <row r="12" customFormat="false" ht="14.25" hidden="false" customHeight="false" outlineLevel="0" collapsed="false">
      <c r="B12" s="35" t="n">
        <v>13</v>
      </c>
      <c r="C12" s="35" t="n">
        <v>1</v>
      </c>
      <c r="D12" s="35" t="s">
        <v>145</v>
      </c>
      <c r="E12" s="35" t="s">
        <v>68</v>
      </c>
      <c r="F12" s="35" t="s">
        <v>82</v>
      </c>
      <c r="G12" s="35"/>
      <c r="H12" s="35"/>
      <c r="I12" s="35"/>
      <c r="J12" s="35"/>
      <c r="K12" s="35" t="s">
        <v>73</v>
      </c>
      <c r="L12" s="36" t="n">
        <f aca="false">IFERROR(VLOOKUP(K12,Condensadoras!$A$2:$H$77,5,0),"")</f>
        <v>0</v>
      </c>
      <c r="M12" s="36" t="n">
        <f aca="false">IFERROR(VLOOKUP(K12,Condensadoras!$A$2:$H$77,6,0),"")</f>
        <v>0</v>
      </c>
      <c r="N12" s="37" t="n">
        <v>39083</v>
      </c>
      <c r="O12" s="38" t="s">
        <v>146</v>
      </c>
    </row>
    <row r="13" customFormat="false" ht="14.25" hidden="false" customHeight="false" outlineLevel="0" collapsed="false">
      <c r="B13" s="35" t="n">
        <v>14</v>
      </c>
      <c r="C13" s="35" t="n">
        <v>1</v>
      </c>
      <c r="D13" s="35" t="s">
        <v>145</v>
      </c>
      <c r="E13" s="35" t="s">
        <v>68</v>
      </c>
      <c r="F13" s="35" t="s">
        <v>78</v>
      </c>
      <c r="G13" s="35"/>
      <c r="H13" s="35"/>
      <c r="I13" s="35"/>
      <c r="J13" s="35"/>
      <c r="K13" s="35" t="s">
        <v>73</v>
      </c>
      <c r="L13" s="36" t="n">
        <f aca="false">IFERROR(VLOOKUP(K13,Condensadoras!$A$2:$H$77,5,0),"")</f>
        <v>0</v>
      </c>
      <c r="M13" s="36" t="n">
        <f aca="false">IFERROR(VLOOKUP(K13,Condensadoras!$A$2:$H$77,6,0),"")</f>
        <v>0</v>
      </c>
      <c r="N13" s="37" t="n">
        <v>39083</v>
      </c>
      <c r="O13" s="38" t="s">
        <v>146</v>
      </c>
    </row>
    <row r="14" customFormat="false" ht="14.25" hidden="false" customHeight="false" outlineLevel="0" collapsed="false">
      <c r="B14" s="35" t="n">
        <v>15</v>
      </c>
      <c r="C14" s="35" t="n">
        <v>1</v>
      </c>
      <c r="D14" s="35" t="s">
        <v>145</v>
      </c>
      <c r="E14" s="35" t="s">
        <v>68</v>
      </c>
      <c r="F14" s="35" t="s">
        <v>79</v>
      </c>
      <c r="G14" s="35"/>
      <c r="H14" s="35"/>
      <c r="I14" s="35"/>
      <c r="J14" s="35"/>
      <c r="K14" s="35" t="s">
        <v>73</v>
      </c>
      <c r="L14" s="36" t="n">
        <f aca="false">IFERROR(VLOOKUP(K14,Condensadoras!$A$2:$H$77,5,0),"")</f>
        <v>0</v>
      </c>
      <c r="M14" s="36" t="n">
        <f aca="false">IFERROR(VLOOKUP(K14,Condensadoras!$A$2:$H$77,6,0),"")</f>
        <v>0</v>
      </c>
      <c r="N14" s="37" t="n">
        <v>39083</v>
      </c>
      <c r="O14" s="38" t="s">
        <v>146</v>
      </c>
    </row>
    <row r="15" customFormat="false" ht="14.25" hidden="false" customHeight="false" outlineLevel="0" collapsed="false">
      <c r="B15" s="35" t="n">
        <v>16</v>
      </c>
      <c r="C15" s="35" t="n">
        <v>1</v>
      </c>
      <c r="D15" s="35" t="s">
        <v>145</v>
      </c>
      <c r="E15" s="35" t="s">
        <v>68</v>
      </c>
      <c r="F15" s="35" t="s">
        <v>80</v>
      </c>
      <c r="G15" s="35"/>
      <c r="H15" s="35"/>
      <c r="I15" s="35"/>
      <c r="J15" s="35"/>
      <c r="K15" s="35" t="s">
        <v>73</v>
      </c>
      <c r="L15" s="36" t="n">
        <f aca="false">IFERROR(VLOOKUP(K15,Condensadoras!$A$2:$H$77,5,0),"")</f>
        <v>0</v>
      </c>
      <c r="M15" s="36" t="n">
        <f aca="false">IFERROR(VLOOKUP(K15,Condensadoras!$A$2:$H$77,6,0),"")</f>
        <v>0</v>
      </c>
      <c r="N15" s="37" t="n">
        <v>39083</v>
      </c>
      <c r="O15" s="38" t="s">
        <v>146</v>
      </c>
    </row>
    <row r="16" customFormat="false" ht="14.25" hidden="false" customHeight="false" outlineLevel="0" collapsed="false">
      <c r="B16" s="35" t="n">
        <v>17</v>
      </c>
      <c r="C16" s="35" t="n">
        <v>1</v>
      </c>
      <c r="D16" s="35" t="s">
        <v>145</v>
      </c>
      <c r="E16" s="35" t="s">
        <v>68</v>
      </c>
      <c r="F16" s="35" t="s">
        <v>72</v>
      </c>
      <c r="G16" s="35"/>
      <c r="H16" s="35"/>
      <c r="I16" s="35"/>
      <c r="J16" s="35"/>
      <c r="K16" s="35" t="s">
        <v>73</v>
      </c>
      <c r="L16" s="36" t="n">
        <f aca="false">IFERROR(VLOOKUP(K16,Condensadoras!$A$2:$H$77,5,0),"")</f>
        <v>0</v>
      </c>
      <c r="M16" s="36" t="n">
        <f aca="false">IFERROR(VLOOKUP(K16,Condensadoras!$A$2:$H$77,6,0),"")</f>
        <v>0</v>
      </c>
      <c r="N16" s="37" t="str">
        <f aca="false">IF(IFERROR(VLOOKUP(K16,Condensadoras!$A$2:$I$77,7,0),"")=0,"",VLOOKUP(K16,Condensadoras!$A$2:$I$77,7,0))</f>
        <v>Azotea - Detrás</v>
      </c>
    </row>
    <row r="17" customFormat="false" ht="14.25" hidden="false" customHeight="false" outlineLevel="0" collapsed="false">
      <c r="B17" s="35" t="s">
        <v>147</v>
      </c>
      <c r="C17" s="35" t="n">
        <v>1</v>
      </c>
      <c r="D17" s="35" t="s">
        <v>145</v>
      </c>
      <c r="E17" s="35" t="s">
        <v>68</v>
      </c>
      <c r="F17" s="35" t="s">
        <v>110</v>
      </c>
      <c r="G17" s="35"/>
      <c r="H17" s="35"/>
      <c r="I17" s="35"/>
      <c r="J17" s="35"/>
      <c r="K17" s="35" t="s">
        <v>109</v>
      </c>
      <c r="L17" s="36" t="str">
        <f aca="false">IFERROR(VLOOKUP(K17,Condensadoras!$A$2:$H$77,5,0),"")</f>
        <v>KA35VA6</v>
      </c>
      <c r="M17" s="36" t="n">
        <f aca="false">IFERROR(VLOOKUP(K17,Condensadoras!$A$2:$H$77,6,0),"")</f>
        <v>0</v>
      </c>
      <c r="N17" s="37" t="str">
        <f aca="false">IF(IFERROR(VLOOKUP(K17,Condensadoras!$A$2:$I$77,7,0),"")=0,"",VLOOKUP(K17,Condensadoras!$A$2:$I$77,7,0))</f>
        <v>Patio Olivera</v>
      </c>
    </row>
    <row r="18" customFormat="false" ht="14.25" hidden="false" customHeight="false" outlineLevel="0" collapsed="false">
      <c r="B18" s="35" t="n">
        <v>40</v>
      </c>
      <c r="C18" s="35" t="n">
        <v>1</v>
      </c>
      <c r="D18" s="35" t="s">
        <v>145</v>
      </c>
      <c r="E18" s="35" t="s">
        <v>68</v>
      </c>
      <c r="F18" s="35" t="s">
        <v>112</v>
      </c>
      <c r="G18" s="35"/>
      <c r="H18" s="35"/>
      <c r="I18" s="35"/>
      <c r="J18" s="35"/>
      <c r="K18" s="35" t="s">
        <v>111</v>
      </c>
      <c r="L18" s="36" t="str">
        <f aca="false">IFERROR(VLOOKUP(K18,Condensadoras!$A$2:$H$77,5,0),"")</f>
        <v>SUZ-M35VA</v>
      </c>
      <c r="M18" s="36" t="n">
        <f aca="false">IFERROR(VLOOKUP(K18,Condensadoras!$A$2:$H$77,6,0),"")</f>
        <v>0</v>
      </c>
      <c r="N18" s="37" t="str">
        <f aca="false">IF(IFERROR(VLOOKUP(K18,Condensadoras!$A$2:$I$77,7,0),"")=0,"",VLOOKUP(K18,Condensadoras!$A$2:$I$77,7,0))</f>
        <v>Patio Olivera</v>
      </c>
    </row>
    <row r="19" customFormat="false" ht="14.25" hidden="false" customHeight="false" outlineLevel="0" collapsed="false">
      <c r="B19" s="35" t="s">
        <v>148</v>
      </c>
      <c r="C19" s="35" t="n">
        <v>1</v>
      </c>
      <c r="D19" s="35" t="s">
        <v>145</v>
      </c>
      <c r="E19" s="35" t="s">
        <v>68</v>
      </c>
      <c r="F19" s="35" t="s">
        <v>114</v>
      </c>
      <c r="G19" s="35"/>
      <c r="H19" s="35"/>
      <c r="I19" s="35"/>
      <c r="J19" s="35"/>
      <c r="K19" s="35" t="s">
        <v>113</v>
      </c>
      <c r="L19" s="36" t="str">
        <f aca="false">IFERROR(VLOOKUP(K19,Condensadoras!$A$2:$H$77,5,0),"")</f>
        <v>PUMY-P300YBM2</v>
      </c>
      <c r="M19" s="36" t="n">
        <f aca="false">IFERROR(VLOOKUP(K19,Condensadoras!$A$2:$H$77,6,0),"")</f>
        <v>0</v>
      </c>
      <c r="N19" s="37" t="str">
        <f aca="false">IF(IFERROR(VLOOKUP(K19,Condensadoras!$A$2:$I$77,7,0),"")=0,"",VLOOKUP(K19,Condensadoras!$A$2:$I$77,7,0))</f>
        <v>Azotea-Detrás</v>
      </c>
    </row>
    <row r="20" customFormat="false" ht="14.25" hidden="false" customHeight="false" outlineLevel="0" collapsed="false">
      <c r="B20" s="39" t="n">
        <v>45</v>
      </c>
      <c r="C20" s="35" t="n">
        <v>1</v>
      </c>
      <c r="D20" s="35" t="s">
        <v>145</v>
      </c>
      <c r="E20" s="39" t="s">
        <v>68</v>
      </c>
      <c r="F20" s="39" t="s">
        <v>127</v>
      </c>
      <c r="G20" s="39" t="s">
        <v>149</v>
      </c>
      <c r="H20" s="39" t="s">
        <v>150</v>
      </c>
      <c r="I20" s="39" t="s">
        <v>151</v>
      </c>
      <c r="J20" s="39"/>
      <c r="K20" s="39" t="s">
        <v>125</v>
      </c>
      <c r="L20" s="36" t="str">
        <f aca="false">IFERROR(VLOOKUP(K20,Condensadoras!$A$2:$H$77,5,0),"")</f>
        <v>PUMY-P300YBM</v>
      </c>
      <c r="M20" s="36" t="n">
        <f aca="false">IFERROR(VLOOKUP(K20,Condensadoras!$A$2:$H$77,6,0),"")</f>
        <v>0</v>
      </c>
      <c r="N20" s="37" t="str">
        <f aca="false">IF(IFERROR(VLOOKUP(K20,Condensadoras!$A$2:$I$77,7,0),"")=0,"",VLOOKUP(K20,Condensadoras!$A$2:$I$77,7,0))</f>
        <v>Azotea - Detrás</v>
      </c>
    </row>
    <row r="21" customFormat="false" ht="14.25" hidden="false" customHeight="false" outlineLevel="0" collapsed="false">
      <c r="B21" s="39" t="n">
        <v>46</v>
      </c>
      <c r="C21" s="35" t="n">
        <v>1</v>
      </c>
      <c r="D21" s="35" t="s">
        <v>145</v>
      </c>
      <c r="E21" s="39" t="s">
        <v>68</v>
      </c>
      <c r="F21" s="39" t="s">
        <v>129</v>
      </c>
      <c r="G21" s="39" t="s">
        <v>149</v>
      </c>
      <c r="H21" s="39" t="s">
        <v>150</v>
      </c>
      <c r="I21" s="39" t="s">
        <v>151</v>
      </c>
      <c r="J21" s="39"/>
      <c r="K21" s="39" t="s">
        <v>125</v>
      </c>
      <c r="L21" s="36" t="str">
        <f aca="false">IFERROR(VLOOKUP(K21,Condensadoras!$A$2:$H$77,5,0),"")</f>
        <v>PUMY-P300YBM</v>
      </c>
      <c r="M21" s="36" t="n">
        <f aca="false">IFERROR(VLOOKUP(K21,Condensadoras!$A$2:$H$77,6,0),"")</f>
        <v>0</v>
      </c>
      <c r="N21" s="37" t="str">
        <f aca="false">IF(IFERROR(VLOOKUP(K21,Condensadoras!$A$2:$I$77,7,0),"")=0,"",VLOOKUP(K21,Condensadoras!$A$2:$I$77,7,0))</f>
        <v>Azotea - Detrás</v>
      </c>
    </row>
    <row r="22" customFormat="false" ht="14.25" hidden="false" customHeight="false" outlineLevel="0" collapsed="false">
      <c r="B22" s="39" t="n">
        <v>47</v>
      </c>
      <c r="C22" s="35" t="n">
        <v>1</v>
      </c>
      <c r="D22" s="35" t="s">
        <v>145</v>
      </c>
      <c r="E22" s="39" t="s">
        <v>68</v>
      </c>
      <c r="F22" s="39" t="s">
        <v>126</v>
      </c>
      <c r="G22" s="39" t="s">
        <v>149</v>
      </c>
      <c r="H22" s="39" t="s">
        <v>150</v>
      </c>
      <c r="I22" s="39" t="s">
        <v>151</v>
      </c>
      <c r="J22" s="39"/>
      <c r="K22" s="39" t="s">
        <v>125</v>
      </c>
      <c r="L22" s="36" t="str">
        <f aca="false">IFERROR(VLOOKUP(K22,Condensadoras!$A$2:$H$77,5,0),"")</f>
        <v>PUMY-P300YBM</v>
      </c>
      <c r="M22" s="36" t="n">
        <f aca="false">IFERROR(VLOOKUP(K22,Condensadoras!$A$2:$H$77,6,0),"")</f>
        <v>0</v>
      </c>
      <c r="N22" s="37" t="str">
        <f aca="false">IF(IFERROR(VLOOKUP(K22,Condensadoras!$A$2:$I$77,7,0),"")=0,"",VLOOKUP(K22,Condensadoras!$A$2:$I$77,7,0))</f>
        <v>Azotea - Detrás</v>
      </c>
    </row>
    <row r="23" customFormat="false" ht="14.25" hidden="false" customHeight="false" outlineLevel="0" collapsed="false">
      <c r="B23" s="39" t="n">
        <v>48</v>
      </c>
      <c r="C23" s="35" t="n">
        <v>1</v>
      </c>
      <c r="D23" s="35" t="s">
        <v>145</v>
      </c>
      <c r="E23" s="39" t="s">
        <v>68</v>
      </c>
      <c r="F23" s="40" t="s">
        <v>130</v>
      </c>
      <c r="G23" s="39" t="s">
        <v>149</v>
      </c>
      <c r="H23" s="39" t="s">
        <v>150</v>
      </c>
      <c r="I23" s="39" t="s">
        <v>151</v>
      </c>
      <c r="J23" s="39"/>
      <c r="K23" s="39" t="s">
        <v>125</v>
      </c>
      <c r="L23" s="36" t="str">
        <f aca="false">IFERROR(VLOOKUP(K23,Condensadoras!$A$2:$H$77,5,0),"")</f>
        <v>PUMY-P300YBM</v>
      </c>
      <c r="M23" s="36" t="n">
        <f aca="false">IFERROR(VLOOKUP(K23,Condensadoras!$A$2:$H$77,6,0),"")</f>
        <v>0</v>
      </c>
      <c r="N23" s="37" t="str">
        <f aca="false">IF(IFERROR(VLOOKUP(K23,Condensadoras!$A$2:$I$77,7,0),"")=0,"",VLOOKUP(K23,Condensadoras!$A$2:$I$77,7,0))</f>
        <v>Azotea - Detrás</v>
      </c>
    </row>
    <row r="24" customFormat="false" ht="14.25" hidden="false" customHeight="false" outlineLevel="0" collapsed="false">
      <c r="B24" s="39" t="n">
        <v>49</v>
      </c>
      <c r="C24" s="35" t="n">
        <v>1</v>
      </c>
      <c r="D24" s="35" t="s">
        <v>145</v>
      </c>
      <c r="E24" s="39" t="s">
        <v>68</v>
      </c>
      <c r="F24" s="40" t="s">
        <v>128</v>
      </c>
      <c r="G24" s="39" t="s">
        <v>149</v>
      </c>
      <c r="H24" s="39" t="s">
        <v>150</v>
      </c>
      <c r="I24" s="39" t="s">
        <v>151</v>
      </c>
      <c r="J24" s="39"/>
      <c r="K24" s="39" t="s">
        <v>125</v>
      </c>
      <c r="L24" s="36" t="str">
        <f aca="false">IFERROR(VLOOKUP(K24,Condensadoras!$A$2:$H$77,5,0),"")</f>
        <v>PUMY-P300YBM</v>
      </c>
      <c r="M24" s="36" t="n">
        <f aca="false">IFERROR(VLOOKUP(K24,Condensadoras!$A$2:$H$77,6,0),"")</f>
        <v>0</v>
      </c>
      <c r="N24" s="37" t="n">
        <v>40909</v>
      </c>
      <c r="O24" s="38" t="s">
        <v>146</v>
      </c>
    </row>
    <row r="25" customFormat="false" ht="14.25" hidden="false" customHeight="false" outlineLevel="0" collapsed="false">
      <c r="B25" s="35" t="n">
        <v>32</v>
      </c>
      <c r="C25" s="35" t="n">
        <v>1</v>
      </c>
      <c r="D25" s="35" t="s">
        <v>145</v>
      </c>
      <c r="E25" s="35" t="s">
        <v>42</v>
      </c>
      <c r="F25" s="35" t="s">
        <v>43</v>
      </c>
      <c r="G25" s="35"/>
      <c r="H25" s="35"/>
      <c r="I25" s="35"/>
      <c r="J25" s="35"/>
      <c r="K25" s="35" t="s">
        <v>41</v>
      </c>
      <c r="L25" s="36" t="n">
        <f aca="false">IFERROR(VLOOKUP(K25,Condensadoras!$A$2:$H$77,5,0),"")</f>
        <v>0</v>
      </c>
      <c r="M25" s="36" t="n">
        <f aca="false">IFERROR(VLOOKUP(K25,Condensadoras!$A$2:$H$77,6,0),"")</f>
        <v>0</v>
      </c>
      <c r="N25" s="37" t="n">
        <v>40909</v>
      </c>
      <c r="O25" s="38" t="s">
        <v>146</v>
      </c>
    </row>
    <row r="26" customFormat="false" ht="14.25" hidden="false" customHeight="false" outlineLevel="0" collapsed="false">
      <c r="B26" s="35" t="n">
        <v>33</v>
      </c>
      <c r="C26" s="35" t="n">
        <v>1</v>
      </c>
      <c r="D26" s="35" t="s">
        <v>145</v>
      </c>
      <c r="E26" s="35" t="s">
        <v>42</v>
      </c>
      <c r="F26" s="35" t="s">
        <v>44</v>
      </c>
      <c r="G26" s="35"/>
      <c r="H26" s="35"/>
      <c r="I26" s="35"/>
      <c r="J26" s="35"/>
      <c r="K26" s="35" t="s">
        <v>41</v>
      </c>
      <c r="L26" s="36" t="n">
        <f aca="false">IFERROR(VLOOKUP(K26,Condensadoras!$A$2:$H$77,5,0),"")</f>
        <v>0</v>
      </c>
      <c r="M26" s="36" t="n">
        <f aca="false">IFERROR(VLOOKUP(K26,Condensadoras!$A$2:$H$77,6,0),"")</f>
        <v>0</v>
      </c>
      <c r="N26" s="37" t="n">
        <v>40909</v>
      </c>
      <c r="O26" s="38" t="s">
        <v>146</v>
      </c>
    </row>
    <row r="27" customFormat="false" ht="14.25" hidden="false" customHeight="false" outlineLevel="0" collapsed="false">
      <c r="B27" s="35" t="n">
        <v>34</v>
      </c>
      <c r="C27" s="35" t="n">
        <v>1</v>
      </c>
      <c r="D27" s="35" t="s">
        <v>145</v>
      </c>
      <c r="E27" s="35" t="s">
        <v>42</v>
      </c>
      <c r="F27" s="35" t="s">
        <v>54</v>
      </c>
      <c r="G27" s="35"/>
      <c r="H27" s="35"/>
      <c r="I27" s="35"/>
      <c r="J27" s="35"/>
      <c r="K27" s="35" t="s">
        <v>41</v>
      </c>
      <c r="L27" s="36" t="n">
        <f aca="false">IFERROR(VLOOKUP(K27,Condensadoras!$A$2:$H$77,5,0),"")</f>
        <v>0</v>
      </c>
      <c r="M27" s="36" t="n">
        <f aca="false">IFERROR(VLOOKUP(K27,Condensadoras!$A$2:$H$77,6,0),"")</f>
        <v>0</v>
      </c>
      <c r="N27" s="37" t="n">
        <v>40909</v>
      </c>
      <c r="O27" s="38" t="s">
        <v>146</v>
      </c>
    </row>
    <row r="28" customFormat="false" ht="14.25" hidden="false" customHeight="false" outlineLevel="0" collapsed="false">
      <c r="B28" s="35" t="n">
        <v>35</v>
      </c>
      <c r="C28" s="35" t="n">
        <v>1</v>
      </c>
      <c r="D28" s="35" t="s">
        <v>145</v>
      </c>
      <c r="E28" s="35" t="s">
        <v>42</v>
      </c>
      <c r="F28" s="35" t="s">
        <v>53</v>
      </c>
      <c r="G28" s="35"/>
      <c r="H28" s="35"/>
      <c r="I28" s="35"/>
      <c r="J28" s="35"/>
      <c r="K28" s="35" t="s">
        <v>41</v>
      </c>
      <c r="L28" s="36" t="n">
        <f aca="false">IFERROR(VLOOKUP(K28,Condensadoras!$A$2:$H$77,5,0),"")</f>
        <v>0</v>
      </c>
      <c r="M28" s="36" t="n">
        <f aca="false">IFERROR(VLOOKUP(K28,Condensadoras!$A$2:$H$77,6,0),"")</f>
        <v>0</v>
      </c>
      <c r="N28" s="37" t="n">
        <v>40909</v>
      </c>
      <c r="O28" s="38" t="s">
        <v>146</v>
      </c>
    </row>
    <row r="29" customFormat="false" ht="14.25" hidden="false" customHeight="false" outlineLevel="0" collapsed="false">
      <c r="B29" s="35" t="n">
        <v>36</v>
      </c>
      <c r="C29" s="35" t="n">
        <v>1</v>
      </c>
      <c r="D29" s="35" t="s">
        <v>145</v>
      </c>
      <c r="E29" s="35" t="s">
        <v>42</v>
      </c>
      <c r="F29" s="35" t="s">
        <v>45</v>
      </c>
      <c r="G29" s="35"/>
      <c r="H29" s="35"/>
      <c r="I29" s="35"/>
      <c r="J29" s="35"/>
      <c r="K29" s="35" t="s">
        <v>41</v>
      </c>
      <c r="L29" s="36" t="n">
        <f aca="false">IFERROR(VLOOKUP(K29,Condensadoras!$A$2:$H$77,5,0),"")</f>
        <v>0</v>
      </c>
      <c r="M29" s="36" t="n">
        <f aca="false">IFERROR(VLOOKUP(K29,Condensadoras!$A$2:$H$77,6,0),"")</f>
        <v>0</v>
      </c>
      <c r="N29" s="37" t="n">
        <v>40909</v>
      </c>
      <c r="O29" s="38" t="s">
        <v>146</v>
      </c>
    </row>
    <row r="30" customFormat="false" ht="14.25" hidden="false" customHeight="false" outlineLevel="0" collapsed="false">
      <c r="B30" s="35" t="n">
        <v>37</v>
      </c>
      <c r="C30" s="35" t="n">
        <v>1</v>
      </c>
      <c r="D30" s="35" t="s">
        <v>145</v>
      </c>
      <c r="E30" s="35" t="s">
        <v>42</v>
      </c>
      <c r="F30" s="35" t="s">
        <v>46</v>
      </c>
      <c r="G30" s="35"/>
      <c r="H30" s="35"/>
      <c r="I30" s="35"/>
      <c r="J30" s="35"/>
      <c r="K30" s="35" t="s">
        <v>41</v>
      </c>
      <c r="L30" s="36" t="n">
        <f aca="false">IFERROR(VLOOKUP(K30,Condensadoras!$A$2:$H$77,5,0),"")</f>
        <v>0</v>
      </c>
      <c r="M30" s="36" t="n">
        <f aca="false">IFERROR(VLOOKUP(K30,Condensadoras!$A$2:$H$77,6,0),"")</f>
        <v>0</v>
      </c>
      <c r="N30" s="37" t="n">
        <v>40909</v>
      </c>
      <c r="O30" s="38" t="s">
        <v>146</v>
      </c>
    </row>
    <row r="31" customFormat="false" ht="14.25" hidden="false" customHeight="false" outlineLevel="0" collapsed="false">
      <c r="B31" s="35" t="n">
        <v>38</v>
      </c>
      <c r="C31" s="35" t="n">
        <v>1</v>
      </c>
      <c r="D31" s="35" t="s">
        <v>145</v>
      </c>
      <c r="E31" s="35" t="s">
        <v>42</v>
      </c>
      <c r="F31" s="35" t="s">
        <v>47</v>
      </c>
      <c r="G31" s="35"/>
      <c r="H31" s="35"/>
      <c r="I31" s="35"/>
      <c r="J31" s="35"/>
      <c r="K31" s="35" t="s">
        <v>41</v>
      </c>
      <c r="L31" s="36" t="n">
        <f aca="false">IFERROR(VLOOKUP(K31,Condensadoras!$A$2:$H$77,5,0),"")</f>
        <v>0</v>
      </c>
      <c r="M31" s="36" t="n">
        <f aca="false">IFERROR(VLOOKUP(K31,Condensadoras!$A$2:$H$77,6,0),"")</f>
        <v>0</v>
      </c>
      <c r="N31" s="37" t="n">
        <v>40909</v>
      </c>
      <c r="O31" s="38" t="s">
        <v>146</v>
      </c>
    </row>
    <row r="32" customFormat="false" ht="14.25" hidden="false" customHeight="false" outlineLevel="0" collapsed="false">
      <c r="B32" s="35" t="n">
        <v>39</v>
      </c>
      <c r="C32" s="35" t="n">
        <v>1</v>
      </c>
      <c r="D32" s="35" t="s">
        <v>145</v>
      </c>
      <c r="E32" s="35" t="s">
        <v>42</v>
      </c>
      <c r="F32" s="35" t="s">
        <v>48</v>
      </c>
      <c r="G32" s="35"/>
      <c r="H32" s="35"/>
      <c r="I32" s="35"/>
      <c r="J32" s="35"/>
      <c r="K32" s="35" t="s">
        <v>41</v>
      </c>
      <c r="L32" s="36" t="n">
        <f aca="false">IFERROR(VLOOKUP(K32,Condensadoras!$A$2:$H$77,5,0),"")</f>
        <v>0</v>
      </c>
      <c r="M32" s="36" t="n">
        <f aca="false">IFERROR(VLOOKUP(K32,Condensadoras!$A$2:$H$77,6,0),"")</f>
        <v>0</v>
      </c>
      <c r="N32" s="37" t="n">
        <v>40909</v>
      </c>
      <c r="O32" s="38" t="s">
        <v>146</v>
      </c>
    </row>
    <row r="33" customFormat="false" ht="14.25" hidden="false" customHeight="false" outlineLevel="0" collapsed="false">
      <c r="B33" s="35" t="n">
        <v>40</v>
      </c>
      <c r="C33" s="35" t="n">
        <v>1</v>
      </c>
      <c r="D33" s="35" t="s">
        <v>145</v>
      </c>
      <c r="E33" s="35" t="s">
        <v>42</v>
      </c>
      <c r="F33" s="35" t="s">
        <v>49</v>
      </c>
      <c r="G33" s="35"/>
      <c r="H33" s="35"/>
      <c r="I33" s="35"/>
      <c r="J33" s="35"/>
      <c r="K33" s="35" t="s">
        <v>41</v>
      </c>
      <c r="L33" s="36" t="n">
        <f aca="false">IFERROR(VLOOKUP(K33,Condensadoras!$A$2:$H$77,5,0),"")</f>
        <v>0</v>
      </c>
      <c r="M33" s="36" t="n">
        <f aca="false">IFERROR(VLOOKUP(K33,Condensadoras!$A$2:$H$77,6,0),"")</f>
        <v>0</v>
      </c>
      <c r="N33" s="37" t="n">
        <v>40909</v>
      </c>
      <c r="O33" s="38" t="s">
        <v>146</v>
      </c>
    </row>
    <row r="34" customFormat="false" ht="14.25" hidden="false" customHeight="false" outlineLevel="0" collapsed="false">
      <c r="B34" s="35" t="n">
        <v>41</v>
      </c>
      <c r="C34" s="35" t="n">
        <v>1</v>
      </c>
      <c r="D34" s="35" t="s">
        <v>145</v>
      </c>
      <c r="E34" s="35" t="s">
        <v>42</v>
      </c>
      <c r="F34" s="35" t="s">
        <v>50</v>
      </c>
      <c r="G34" s="35"/>
      <c r="H34" s="35"/>
      <c r="I34" s="35"/>
      <c r="J34" s="35"/>
      <c r="K34" s="35" t="s">
        <v>41</v>
      </c>
      <c r="L34" s="36" t="n">
        <f aca="false">IFERROR(VLOOKUP(K34,Condensadoras!$A$2:$H$77,5,0),"")</f>
        <v>0</v>
      </c>
      <c r="M34" s="36" t="n">
        <f aca="false">IFERROR(VLOOKUP(K34,Condensadoras!$A$2:$H$77,6,0),"")</f>
        <v>0</v>
      </c>
      <c r="N34" s="37" t="n">
        <v>40909</v>
      </c>
      <c r="O34" s="38" t="s">
        <v>146</v>
      </c>
    </row>
    <row r="35" customFormat="false" ht="14.25" hidden="false" customHeight="false" outlineLevel="0" collapsed="false">
      <c r="B35" s="35" t="n">
        <v>42</v>
      </c>
      <c r="C35" s="35" t="n">
        <v>1</v>
      </c>
      <c r="D35" s="35" t="s">
        <v>145</v>
      </c>
      <c r="E35" s="35" t="s">
        <v>42</v>
      </c>
      <c r="F35" s="35" t="s">
        <v>51</v>
      </c>
      <c r="G35" s="35"/>
      <c r="H35" s="35"/>
      <c r="I35" s="35"/>
      <c r="J35" s="35"/>
      <c r="K35" s="35" t="s">
        <v>41</v>
      </c>
      <c r="L35" s="36" t="n">
        <f aca="false">IFERROR(VLOOKUP(K35,Condensadoras!$A$2:$H$77,5,0),"")</f>
        <v>0</v>
      </c>
      <c r="M35" s="36" t="n">
        <f aca="false">IFERROR(VLOOKUP(K35,Condensadoras!$A$2:$H$77,6,0),"")</f>
        <v>0</v>
      </c>
      <c r="N35" s="37" t="n">
        <v>40909</v>
      </c>
      <c r="O35" s="38" t="s">
        <v>146</v>
      </c>
    </row>
    <row r="36" customFormat="false" ht="14.25" hidden="false" customHeight="false" outlineLevel="0" collapsed="false">
      <c r="B36" s="35" t="n">
        <v>43</v>
      </c>
      <c r="C36" s="35" t="n">
        <v>1</v>
      </c>
      <c r="D36" s="35" t="s">
        <v>145</v>
      </c>
      <c r="E36" s="35" t="s">
        <v>42</v>
      </c>
      <c r="F36" s="35" t="s">
        <v>52</v>
      </c>
      <c r="G36" s="35"/>
      <c r="H36" s="35"/>
      <c r="I36" s="35"/>
      <c r="J36" s="35"/>
      <c r="K36" s="35" t="s">
        <v>41</v>
      </c>
      <c r="L36" s="36" t="n">
        <f aca="false">IFERROR(VLOOKUP(K36,Condensadoras!$A$2:$H$77,5,0),"")</f>
        <v>0</v>
      </c>
      <c r="M36" s="36" t="n">
        <f aca="false">IFERROR(VLOOKUP(K36,Condensadoras!$A$2:$H$77,6,0),"")</f>
        <v>0</v>
      </c>
      <c r="N36" s="37" t="n">
        <v>40909</v>
      </c>
      <c r="O36" s="38" t="s">
        <v>146</v>
      </c>
    </row>
    <row r="37" customFormat="false" ht="14.25" hidden="false" customHeight="false" outlineLevel="0" collapsed="false">
      <c r="B37" s="35" t="s">
        <v>152</v>
      </c>
      <c r="C37" s="35" t="n">
        <v>1</v>
      </c>
      <c r="D37" s="35" t="s">
        <v>145</v>
      </c>
      <c r="E37" s="35" t="s">
        <v>42</v>
      </c>
      <c r="F37" s="35" t="s">
        <v>105</v>
      </c>
      <c r="G37" s="35"/>
      <c r="H37" s="35"/>
      <c r="I37" s="35"/>
      <c r="J37" s="35"/>
      <c r="K37" s="35" t="s">
        <v>104</v>
      </c>
      <c r="L37" s="36" t="str">
        <f aca="false">IFERROR(VLOOKUP(K37,Condensadoras!$A$2:$H$77,5,0),"")</f>
        <v>SUZ-KA60VA2</v>
      </c>
      <c r="M37" s="36" t="n">
        <f aca="false">IFERROR(VLOOKUP(K37,Condensadoras!$A$2:$H$77,6,0),"")</f>
        <v>0</v>
      </c>
      <c r="N37" s="37" t="n">
        <v>40909</v>
      </c>
      <c r="O37" s="38" t="s">
        <v>146</v>
      </c>
    </row>
    <row r="38" customFormat="false" ht="14.25" hidden="false" customHeight="false" outlineLevel="0" collapsed="false">
      <c r="B38" s="35" t="s">
        <v>153</v>
      </c>
      <c r="C38" s="35" t="n">
        <v>1</v>
      </c>
      <c r="D38" s="35" t="s">
        <v>145</v>
      </c>
      <c r="E38" s="35" t="s">
        <v>42</v>
      </c>
      <c r="F38" s="35" t="s">
        <v>53</v>
      </c>
      <c r="G38" s="35"/>
      <c r="H38" s="35"/>
      <c r="I38" s="35"/>
      <c r="J38" s="35"/>
      <c r="K38" s="35" t="s">
        <v>106</v>
      </c>
      <c r="L38" s="36" t="str">
        <f aca="false">IFERROR(VLOOKUP(K38,Condensadoras!$A$2:$H$77,5,0),"")</f>
        <v>SUZ-KA60VA2</v>
      </c>
      <c r="M38" s="36" t="n">
        <f aca="false">IFERROR(VLOOKUP(K38,Condensadoras!$A$2:$H$77,6,0),"")</f>
        <v>0</v>
      </c>
      <c r="N38" s="37" t="n">
        <v>40909</v>
      </c>
      <c r="O38" s="38" t="s">
        <v>146</v>
      </c>
    </row>
    <row r="39" customFormat="false" ht="14.25" hidden="false" customHeight="false" outlineLevel="0" collapsed="false">
      <c r="B39" s="35" t="s">
        <v>154</v>
      </c>
      <c r="C39" s="35" t="n">
        <v>1</v>
      </c>
      <c r="D39" s="35" t="s">
        <v>145</v>
      </c>
      <c r="E39" s="35" t="s">
        <v>42</v>
      </c>
      <c r="F39" s="35" t="s">
        <v>108</v>
      </c>
      <c r="G39" s="35"/>
      <c r="H39" s="35"/>
      <c r="I39" s="35"/>
      <c r="J39" s="35"/>
      <c r="K39" s="35" t="s">
        <v>107</v>
      </c>
      <c r="L39" s="36" t="str">
        <f aca="false">IFERROR(VLOOKUP(K39,Condensadoras!$A$2:$H$77,5,0),"")</f>
        <v>SUZ-KA50VA</v>
      </c>
      <c r="M39" s="36" t="n">
        <f aca="false">IFERROR(VLOOKUP(K39,Condensadoras!$A$2:$H$77,6,0),"")</f>
        <v>0</v>
      </c>
      <c r="N39" s="37" t="n">
        <v>40909</v>
      </c>
      <c r="O39" s="38" t="s">
        <v>146</v>
      </c>
    </row>
    <row r="40" customFormat="false" ht="14.25" hidden="false" customHeight="false" outlineLevel="0" collapsed="false">
      <c r="B40" s="35" t="s">
        <v>155</v>
      </c>
      <c r="C40" s="35" t="n">
        <v>1</v>
      </c>
      <c r="D40" s="35" t="s">
        <v>145</v>
      </c>
      <c r="E40" s="35" t="s">
        <v>42</v>
      </c>
      <c r="F40" s="35" t="s">
        <v>116</v>
      </c>
      <c r="G40" s="35"/>
      <c r="H40" s="35"/>
      <c r="I40" s="35"/>
      <c r="J40" s="35"/>
      <c r="K40" s="35" t="s">
        <v>113</v>
      </c>
      <c r="L40" s="36" t="str">
        <f aca="false">IFERROR(VLOOKUP(K40,Condensadoras!$A$2:$H$77,5,0),"")</f>
        <v>PUMY-P300YBM2</v>
      </c>
      <c r="M40" s="36" t="n">
        <f aca="false">IFERROR(VLOOKUP(K40,Condensadoras!$A$2:$H$77,6,0),"")</f>
        <v>0</v>
      </c>
      <c r="N40" s="37" t="n">
        <v>40909</v>
      </c>
      <c r="O40" s="38" t="s">
        <v>146</v>
      </c>
    </row>
    <row r="41" customFormat="false" ht="14.25" hidden="false" customHeight="false" outlineLevel="0" collapsed="false">
      <c r="B41" s="35" t="s">
        <v>156</v>
      </c>
      <c r="C41" s="35" t="n">
        <v>1</v>
      </c>
      <c r="D41" s="35" t="s">
        <v>145</v>
      </c>
      <c r="E41" s="35" t="s">
        <v>42</v>
      </c>
      <c r="F41" s="35" t="s">
        <v>115</v>
      </c>
      <c r="G41" s="35"/>
      <c r="H41" s="35"/>
      <c r="I41" s="35"/>
      <c r="J41" s="35"/>
      <c r="K41" s="35" t="s">
        <v>113</v>
      </c>
      <c r="L41" s="36" t="str">
        <f aca="false">IFERROR(VLOOKUP(K41,Condensadoras!$A$2:$H$77,5,0),"")</f>
        <v>PUMY-P300YBM2</v>
      </c>
      <c r="M41" s="36" t="n">
        <f aca="false">IFERROR(VLOOKUP(K41,Condensadoras!$A$2:$H$77,6,0),"")</f>
        <v>0</v>
      </c>
      <c r="N41" s="37" t="n">
        <v>40909</v>
      </c>
      <c r="O41" s="38" t="s">
        <v>146</v>
      </c>
    </row>
    <row r="42" customFormat="false" ht="14.25" hidden="false" customHeight="false" outlineLevel="0" collapsed="false">
      <c r="B42" s="39" t="n">
        <v>44</v>
      </c>
      <c r="C42" s="35" t="n">
        <v>1</v>
      </c>
      <c r="D42" s="35" t="s">
        <v>145</v>
      </c>
      <c r="E42" s="39" t="s">
        <v>42</v>
      </c>
      <c r="F42" s="39" t="s">
        <v>131</v>
      </c>
      <c r="G42" s="39" t="s">
        <v>149</v>
      </c>
      <c r="H42" s="39" t="s">
        <v>150</v>
      </c>
      <c r="I42" s="39" t="s">
        <v>151</v>
      </c>
      <c r="J42" s="39"/>
      <c r="K42" s="39" t="s">
        <v>125</v>
      </c>
      <c r="L42" s="36" t="str">
        <f aca="false">IFERROR(VLOOKUP(K42,Condensadoras!$A$2:$H$77,5,0),"")</f>
        <v>PUMY-P300YBM</v>
      </c>
      <c r="M42" s="36" t="n">
        <f aca="false">IFERROR(VLOOKUP(K42,Condensadoras!$A$2:$H$77,6,0),"")</f>
        <v>0</v>
      </c>
      <c r="N42" s="37" t="n">
        <v>40909</v>
      </c>
      <c r="O42" s="38" t="s">
        <v>146</v>
      </c>
    </row>
    <row r="43" customFormat="false" ht="14.25" hidden="false" customHeight="false" outlineLevel="0" collapsed="false">
      <c r="B43" s="39" t="n">
        <v>1</v>
      </c>
      <c r="C43" s="35" t="n">
        <v>1</v>
      </c>
      <c r="D43" s="35" t="s">
        <v>145</v>
      </c>
      <c r="E43" s="39" t="s">
        <v>21</v>
      </c>
      <c r="F43" s="39" t="s">
        <v>22</v>
      </c>
      <c r="G43" s="39" t="s">
        <v>150</v>
      </c>
      <c r="H43" s="39" t="s">
        <v>150</v>
      </c>
      <c r="I43" s="39" t="s">
        <v>157</v>
      </c>
      <c r="J43" s="39"/>
      <c r="K43" s="39" t="s">
        <v>20</v>
      </c>
      <c r="L43" s="36" t="str">
        <f aca="false">IFERROR(VLOOKUP(K43,Condensadoras!$A$2:$H$77,5,0),"")</f>
        <v>PURY-P300YNW-A</v>
      </c>
      <c r="M43" s="36" t="n">
        <f aca="false">IFERROR(VLOOKUP(K43,Condensadoras!$A$2:$H$77,6,0),"")</f>
        <v>0</v>
      </c>
      <c r="N43" s="37" t="n">
        <v>40909</v>
      </c>
      <c r="O43" s="38" t="s">
        <v>146</v>
      </c>
    </row>
    <row r="44" customFormat="false" ht="14.25" hidden="false" customHeight="false" outlineLevel="0" collapsed="false">
      <c r="B44" s="39" t="n">
        <v>2</v>
      </c>
      <c r="C44" s="35" t="n">
        <v>1</v>
      </c>
      <c r="D44" s="35" t="s">
        <v>145</v>
      </c>
      <c r="E44" s="39" t="s">
        <v>21</v>
      </c>
      <c r="F44" s="39" t="s">
        <v>23</v>
      </c>
      <c r="G44" s="39" t="s">
        <v>150</v>
      </c>
      <c r="H44" s="39" t="s">
        <v>150</v>
      </c>
      <c r="I44" s="39" t="s">
        <v>157</v>
      </c>
      <c r="J44" s="39"/>
      <c r="K44" s="39" t="s">
        <v>20</v>
      </c>
      <c r="L44" s="36" t="str">
        <f aca="false">IFERROR(VLOOKUP(K44,Condensadoras!$A$2:$H$77,5,0),"")</f>
        <v>PURY-P300YNW-A</v>
      </c>
      <c r="M44" s="36" t="n">
        <f aca="false">IFERROR(VLOOKUP(K44,Condensadoras!$A$2:$H$77,6,0),"")</f>
        <v>0</v>
      </c>
      <c r="N44" s="37" t="n">
        <v>40909</v>
      </c>
      <c r="O44" s="38" t="s">
        <v>146</v>
      </c>
    </row>
    <row r="45" customFormat="false" ht="14.25" hidden="false" customHeight="false" outlineLevel="0" collapsed="false">
      <c r="B45" s="39" t="n">
        <v>3</v>
      </c>
      <c r="C45" s="35" t="n">
        <v>1</v>
      </c>
      <c r="D45" s="35" t="s">
        <v>145</v>
      </c>
      <c r="E45" s="39" t="s">
        <v>21</v>
      </c>
      <c r="F45" s="39" t="s">
        <v>24</v>
      </c>
      <c r="G45" s="39" t="s">
        <v>150</v>
      </c>
      <c r="H45" s="39" t="s">
        <v>150</v>
      </c>
      <c r="I45" s="39" t="s">
        <v>157</v>
      </c>
      <c r="J45" s="39"/>
      <c r="K45" s="39" t="s">
        <v>20</v>
      </c>
      <c r="L45" s="36" t="str">
        <f aca="false">IFERROR(VLOOKUP(K45,Condensadoras!$A$2:$H$77,5,0),"")</f>
        <v>PURY-P300YNW-A</v>
      </c>
      <c r="M45" s="36" t="n">
        <f aca="false">IFERROR(VLOOKUP(K45,Condensadoras!$A$2:$H$77,6,0),"")</f>
        <v>0</v>
      </c>
      <c r="N45" s="37" t="n">
        <v>40909</v>
      </c>
      <c r="O45" s="38" t="s">
        <v>146</v>
      </c>
    </row>
    <row r="46" customFormat="false" ht="14.25" hidden="false" customHeight="false" outlineLevel="0" collapsed="false">
      <c r="B46" s="39" t="n">
        <v>4</v>
      </c>
      <c r="C46" s="35" t="n">
        <v>1</v>
      </c>
      <c r="D46" s="35" t="s">
        <v>145</v>
      </c>
      <c r="E46" s="39" t="s">
        <v>21</v>
      </c>
      <c r="F46" s="39" t="s">
        <v>25</v>
      </c>
      <c r="G46" s="39" t="s">
        <v>150</v>
      </c>
      <c r="H46" s="39" t="s">
        <v>150</v>
      </c>
      <c r="I46" s="39" t="s">
        <v>157</v>
      </c>
      <c r="J46" s="39"/>
      <c r="K46" s="39" t="s">
        <v>20</v>
      </c>
      <c r="L46" s="36" t="str">
        <f aca="false">IFERROR(VLOOKUP(K46,Condensadoras!$A$2:$H$77,5,0),"")</f>
        <v>PURY-P300YNW-A</v>
      </c>
      <c r="M46" s="36" t="n">
        <f aca="false">IFERROR(VLOOKUP(K46,Condensadoras!$A$2:$H$77,6,0),"")</f>
        <v>0</v>
      </c>
      <c r="N46" s="37" t="n">
        <v>39083</v>
      </c>
      <c r="O46" s="38" t="s">
        <v>146</v>
      </c>
    </row>
    <row r="47" customFormat="false" ht="14.25" hidden="false" customHeight="false" outlineLevel="0" collapsed="false">
      <c r="B47" s="39" t="n">
        <v>5</v>
      </c>
      <c r="C47" s="35" t="n">
        <v>1</v>
      </c>
      <c r="D47" s="35" t="s">
        <v>145</v>
      </c>
      <c r="E47" s="39" t="s">
        <v>21</v>
      </c>
      <c r="F47" s="39" t="s">
        <v>26</v>
      </c>
      <c r="G47" s="39" t="s">
        <v>150</v>
      </c>
      <c r="H47" s="39" t="s">
        <v>150</v>
      </c>
      <c r="I47" s="39" t="s">
        <v>157</v>
      </c>
      <c r="J47" s="39"/>
      <c r="K47" s="39" t="s">
        <v>20</v>
      </c>
      <c r="L47" s="36" t="str">
        <f aca="false">IFERROR(VLOOKUP(K47,Condensadoras!$A$2:$H$77,5,0),"")</f>
        <v>PURY-P300YNW-A</v>
      </c>
      <c r="M47" s="36" t="n">
        <f aca="false">IFERROR(VLOOKUP(K47,Condensadoras!$A$2:$H$77,6,0),"")</f>
        <v>0</v>
      </c>
      <c r="N47" s="37" t="n">
        <v>39083</v>
      </c>
      <c r="O47" s="38" t="s">
        <v>146</v>
      </c>
    </row>
    <row r="48" customFormat="false" ht="14.25" hidden="false" customHeight="false" outlineLevel="0" collapsed="false">
      <c r="B48" s="39" t="n">
        <v>6</v>
      </c>
      <c r="C48" s="35" t="n">
        <v>1</v>
      </c>
      <c r="D48" s="35" t="s">
        <v>145</v>
      </c>
      <c r="E48" s="39" t="s">
        <v>21</v>
      </c>
      <c r="F48" s="39" t="s">
        <v>27</v>
      </c>
      <c r="G48" s="39" t="s">
        <v>150</v>
      </c>
      <c r="H48" s="39" t="s">
        <v>150</v>
      </c>
      <c r="I48" s="39" t="s">
        <v>157</v>
      </c>
      <c r="J48" s="39"/>
      <c r="K48" s="39" t="s">
        <v>20</v>
      </c>
      <c r="L48" s="36" t="str">
        <f aca="false">IFERROR(VLOOKUP(K48,Condensadoras!$A$2:$H$77,5,0),"")</f>
        <v>PURY-P300YNW-A</v>
      </c>
      <c r="M48" s="36" t="n">
        <f aca="false">IFERROR(VLOOKUP(K48,Condensadoras!$A$2:$H$77,6,0),"")</f>
        <v>0</v>
      </c>
      <c r="N48" s="37" t="n">
        <v>40909</v>
      </c>
      <c r="O48" s="38" t="s">
        <v>146</v>
      </c>
    </row>
    <row r="49" customFormat="false" ht="14.25" hidden="false" customHeight="false" outlineLevel="0" collapsed="false">
      <c r="B49" s="39" t="n">
        <v>41</v>
      </c>
      <c r="C49" s="35" t="n">
        <v>1</v>
      </c>
      <c r="D49" s="35" t="s">
        <v>145</v>
      </c>
      <c r="E49" s="39" t="s">
        <v>21</v>
      </c>
      <c r="F49" s="39" t="s">
        <v>28</v>
      </c>
      <c r="G49" s="39" t="s">
        <v>150</v>
      </c>
      <c r="H49" s="39" t="s">
        <v>150</v>
      </c>
      <c r="I49" s="39" t="s">
        <v>157</v>
      </c>
      <c r="J49" s="39"/>
      <c r="K49" s="39" t="s">
        <v>20</v>
      </c>
      <c r="L49" s="36" t="str">
        <f aca="false">IFERROR(VLOOKUP(K49,Condensadoras!$A$2:$H$77,5,0),"")</f>
        <v>PURY-P300YNW-A</v>
      </c>
      <c r="M49" s="36" t="n">
        <f aca="false">IFERROR(VLOOKUP(K49,Condensadoras!$A$2:$H$77,6,0),"")</f>
        <v>0</v>
      </c>
      <c r="N49" s="37" t="n">
        <v>40909</v>
      </c>
      <c r="O49" s="38" t="s">
        <v>146</v>
      </c>
    </row>
    <row r="50" customFormat="false" ht="14.25" hidden="false" customHeight="false" outlineLevel="0" collapsed="false">
      <c r="B50" s="39" t="n">
        <v>42</v>
      </c>
      <c r="C50" s="35" t="n">
        <v>1</v>
      </c>
      <c r="D50" s="35" t="s">
        <v>145</v>
      </c>
      <c r="E50" s="39" t="s">
        <v>21</v>
      </c>
      <c r="F50" s="39" t="s">
        <v>29</v>
      </c>
      <c r="G50" s="39" t="s">
        <v>150</v>
      </c>
      <c r="H50" s="39" t="s">
        <v>150</v>
      </c>
      <c r="I50" s="39" t="s">
        <v>157</v>
      </c>
      <c r="J50" s="39"/>
      <c r="K50" s="39" t="s">
        <v>20</v>
      </c>
      <c r="L50" s="36" t="str">
        <f aca="false">IFERROR(VLOOKUP(K50,Condensadoras!$A$2:$H$77,5,0),"")</f>
        <v>PURY-P300YNW-A</v>
      </c>
      <c r="M50" s="36" t="n">
        <f aca="false">IFERROR(VLOOKUP(K50,Condensadoras!$A$2:$H$77,6,0),"")</f>
        <v>0</v>
      </c>
      <c r="N50" s="37" t="n">
        <v>40909</v>
      </c>
      <c r="O50" s="38" t="s">
        <v>146</v>
      </c>
    </row>
    <row r="51" customFormat="false" ht="14.25" hidden="false" customHeight="false" outlineLevel="0" collapsed="false">
      <c r="B51" s="35" t="n">
        <v>17</v>
      </c>
      <c r="C51" s="35" t="n">
        <v>1</v>
      </c>
      <c r="D51" s="35" t="s">
        <v>145</v>
      </c>
      <c r="E51" s="35" t="s">
        <v>21</v>
      </c>
      <c r="F51" s="35" t="s">
        <v>38</v>
      </c>
      <c r="G51" s="35"/>
      <c r="H51" s="35"/>
      <c r="I51" s="35"/>
      <c r="J51" s="35"/>
      <c r="K51" s="35" t="s">
        <v>30</v>
      </c>
      <c r="L51" s="36" t="n">
        <f aca="false">IFERROR(VLOOKUP(K51,Condensadoras!$A$2:$H$77,5,0),"")</f>
        <v>0</v>
      </c>
      <c r="M51" s="36" t="n">
        <f aca="false">IFERROR(VLOOKUP(K51,Condensadoras!$A$2:$H$77,6,0),"")</f>
        <v>0</v>
      </c>
      <c r="N51" s="37" t="n">
        <v>40909</v>
      </c>
      <c r="O51" s="38" t="s">
        <v>146</v>
      </c>
    </row>
    <row r="52" customFormat="false" ht="14.25" hidden="false" customHeight="false" outlineLevel="0" collapsed="false">
      <c r="B52" s="35" t="n">
        <v>18</v>
      </c>
      <c r="C52" s="35" t="n">
        <v>1</v>
      </c>
      <c r="D52" s="35" t="s">
        <v>145</v>
      </c>
      <c r="E52" s="35" t="s">
        <v>21</v>
      </c>
      <c r="F52" s="35" t="s">
        <v>39</v>
      </c>
      <c r="G52" s="35"/>
      <c r="H52" s="35"/>
      <c r="I52" s="35"/>
      <c r="J52" s="35"/>
      <c r="K52" s="35" t="s">
        <v>30</v>
      </c>
      <c r="L52" s="36" t="n">
        <f aca="false">IFERROR(VLOOKUP(K52,Condensadoras!$A$2:$H$77,5,0),"")</f>
        <v>0</v>
      </c>
      <c r="M52" s="36" t="n">
        <f aca="false">IFERROR(VLOOKUP(K52,Condensadoras!$A$2:$H$77,6,0),"")</f>
        <v>0</v>
      </c>
      <c r="N52" s="37" t="n">
        <v>40909</v>
      </c>
      <c r="O52" s="38" t="s">
        <v>146</v>
      </c>
    </row>
    <row r="53" customFormat="false" ht="14.25" hidden="false" customHeight="false" outlineLevel="0" collapsed="false">
      <c r="B53" s="35" t="n">
        <v>19</v>
      </c>
      <c r="C53" s="35" t="n">
        <v>1</v>
      </c>
      <c r="D53" s="35" t="s">
        <v>145</v>
      </c>
      <c r="E53" s="35" t="s">
        <v>21</v>
      </c>
      <c r="F53" s="35" t="s">
        <v>31</v>
      </c>
      <c r="G53" s="35"/>
      <c r="H53" s="35"/>
      <c r="I53" s="35"/>
      <c r="J53" s="35"/>
      <c r="K53" s="35" t="s">
        <v>30</v>
      </c>
      <c r="L53" s="36" t="n">
        <f aca="false">IFERROR(VLOOKUP(K53,Condensadoras!$A$2:$H$77,5,0),"")</f>
        <v>0</v>
      </c>
      <c r="M53" s="36" t="n">
        <f aca="false">IFERROR(VLOOKUP(K53,Condensadoras!$A$2:$H$77,6,0),"")</f>
        <v>0</v>
      </c>
      <c r="N53" s="37" t="n">
        <v>40909</v>
      </c>
      <c r="O53" s="38" t="s">
        <v>146</v>
      </c>
    </row>
    <row r="54" customFormat="false" ht="14.25" hidden="false" customHeight="false" outlineLevel="0" collapsed="false">
      <c r="B54" s="35" t="n">
        <v>20</v>
      </c>
      <c r="C54" s="35" t="n">
        <v>1</v>
      </c>
      <c r="D54" s="35" t="s">
        <v>145</v>
      </c>
      <c r="E54" s="35" t="s">
        <v>21</v>
      </c>
      <c r="F54" s="35" t="s">
        <v>32</v>
      </c>
      <c r="G54" s="35"/>
      <c r="H54" s="35"/>
      <c r="I54" s="35"/>
      <c r="J54" s="35"/>
      <c r="K54" s="35" t="s">
        <v>30</v>
      </c>
      <c r="L54" s="36" t="n">
        <f aca="false">IFERROR(VLOOKUP(K54,Condensadoras!$A$2:$H$77,5,0),"")</f>
        <v>0</v>
      </c>
      <c r="M54" s="36" t="n">
        <f aca="false">IFERROR(VLOOKUP(K54,Condensadoras!$A$2:$H$77,6,0),"")</f>
        <v>0</v>
      </c>
      <c r="N54" s="37" t="n">
        <v>40909</v>
      </c>
      <c r="O54" s="38" t="s">
        <v>146</v>
      </c>
    </row>
    <row r="55" customFormat="false" ht="14.25" hidden="false" customHeight="false" outlineLevel="0" collapsed="false">
      <c r="B55" s="35" t="n">
        <v>21</v>
      </c>
      <c r="C55" s="35" t="n">
        <v>1</v>
      </c>
      <c r="D55" s="35" t="s">
        <v>145</v>
      </c>
      <c r="E55" s="35" t="s">
        <v>21</v>
      </c>
      <c r="F55" s="35" t="s">
        <v>33</v>
      </c>
      <c r="G55" s="35"/>
      <c r="H55" s="35"/>
      <c r="I55" s="35"/>
      <c r="J55" s="35"/>
      <c r="K55" s="35" t="s">
        <v>30</v>
      </c>
      <c r="L55" s="36" t="n">
        <f aca="false">IFERROR(VLOOKUP(K55,Condensadoras!$A$2:$H$77,5,0),"")</f>
        <v>0</v>
      </c>
      <c r="M55" s="36" t="n">
        <f aca="false">IFERROR(VLOOKUP(K55,Condensadoras!$A$2:$H$77,6,0),"")</f>
        <v>0</v>
      </c>
      <c r="N55" s="37" t="n">
        <v>40909</v>
      </c>
      <c r="O55" s="38" t="s">
        <v>146</v>
      </c>
    </row>
    <row r="56" customFormat="false" ht="14.25" hidden="false" customHeight="false" outlineLevel="0" collapsed="false">
      <c r="B56" s="35" t="n">
        <v>22</v>
      </c>
      <c r="C56" s="35" t="n">
        <v>1</v>
      </c>
      <c r="D56" s="35" t="s">
        <v>145</v>
      </c>
      <c r="E56" s="35" t="s">
        <v>21</v>
      </c>
      <c r="F56" s="35" t="s">
        <v>34</v>
      </c>
      <c r="G56" s="35"/>
      <c r="H56" s="35"/>
      <c r="I56" s="35"/>
      <c r="J56" s="35"/>
      <c r="K56" s="35" t="s">
        <v>30</v>
      </c>
      <c r="L56" s="36" t="n">
        <f aca="false">IFERROR(VLOOKUP(K56,Condensadoras!$A$2:$H$77,5,0),"")</f>
        <v>0</v>
      </c>
      <c r="M56" s="36" t="n">
        <f aca="false">IFERROR(VLOOKUP(K56,Condensadoras!$A$2:$H$77,6,0),"")</f>
        <v>0</v>
      </c>
      <c r="N56" s="37" t="n">
        <v>40909</v>
      </c>
      <c r="O56" s="38" t="s">
        <v>146</v>
      </c>
    </row>
    <row r="57" customFormat="false" ht="14.25" hidden="false" customHeight="false" outlineLevel="0" collapsed="false">
      <c r="B57" s="35" t="n">
        <v>23</v>
      </c>
      <c r="C57" s="35" t="n">
        <v>1</v>
      </c>
      <c r="D57" s="35" t="s">
        <v>145</v>
      </c>
      <c r="E57" s="35" t="s">
        <v>21</v>
      </c>
      <c r="F57" s="35" t="s">
        <v>35</v>
      </c>
      <c r="G57" s="35"/>
      <c r="H57" s="35"/>
      <c r="I57" s="35"/>
      <c r="J57" s="35"/>
      <c r="K57" s="35" t="s">
        <v>30</v>
      </c>
      <c r="L57" s="36" t="n">
        <f aca="false">IFERROR(VLOOKUP(K57,Condensadoras!$A$2:$H$77,5,0),"")</f>
        <v>0</v>
      </c>
      <c r="M57" s="36" t="n">
        <f aca="false">IFERROR(VLOOKUP(K57,Condensadoras!$A$2:$H$77,6,0),"")</f>
        <v>0</v>
      </c>
      <c r="N57" s="37" t="n">
        <v>40909</v>
      </c>
      <c r="O57" s="38" t="s">
        <v>146</v>
      </c>
    </row>
    <row r="58" customFormat="false" ht="14.25" hidden="false" customHeight="false" outlineLevel="0" collapsed="false">
      <c r="B58" s="35" t="n">
        <v>24</v>
      </c>
      <c r="C58" s="35" t="n">
        <v>1</v>
      </c>
      <c r="D58" s="35" t="s">
        <v>145</v>
      </c>
      <c r="E58" s="35" t="s">
        <v>21</v>
      </c>
      <c r="F58" s="35" t="s">
        <v>40</v>
      </c>
      <c r="G58" s="35"/>
      <c r="H58" s="35"/>
      <c r="I58" s="35"/>
      <c r="J58" s="35"/>
      <c r="K58" s="35" t="s">
        <v>30</v>
      </c>
      <c r="L58" s="36" t="n">
        <f aca="false">IFERROR(VLOOKUP(K58,Condensadoras!$A$2:$H$77,5,0),"")</f>
        <v>0</v>
      </c>
      <c r="M58" s="36" t="n">
        <f aca="false">IFERROR(VLOOKUP(K58,Condensadoras!$A$2:$H$77,6,0),"")</f>
        <v>0</v>
      </c>
      <c r="N58" s="37" t="n">
        <v>40909</v>
      </c>
      <c r="O58" s="38" t="s">
        <v>146</v>
      </c>
    </row>
    <row r="59" customFormat="false" ht="14.25" hidden="false" customHeight="false" outlineLevel="0" collapsed="false">
      <c r="B59" s="35" t="n">
        <v>25</v>
      </c>
      <c r="C59" s="35" t="n">
        <v>1</v>
      </c>
      <c r="D59" s="35" t="s">
        <v>145</v>
      </c>
      <c r="E59" s="35" t="s">
        <v>21</v>
      </c>
      <c r="F59" s="35" t="s">
        <v>36</v>
      </c>
      <c r="G59" s="35"/>
      <c r="H59" s="35"/>
      <c r="I59" s="35"/>
      <c r="J59" s="35"/>
      <c r="K59" s="35" t="s">
        <v>30</v>
      </c>
      <c r="L59" s="36" t="n">
        <f aca="false">IFERROR(VLOOKUP(K59,Condensadoras!$A$2:$H$77,5,0),"")</f>
        <v>0</v>
      </c>
      <c r="M59" s="36" t="n">
        <f aca="false">IFERROR(VLOOKUP(K59,Condensadoras!$A$2:$H$77,6,0),"")</f>
        <v>0</v>
      </c>
      <c r="N59" s="37" t="n">
        <v>40909</v>
      </c>
      <c r="O59" s="38" t="s">
        <v>146</v>
      </c>
    </row>
    <row r="60" customFormat="false" ht="14.25" hidden="false" customHeight="false" outlineLevel="0" collapsed="false">
      <c r="B60" s="35" t="n">
        <v>26</v>
      </c>
      <c r="C60" s="35" t="n">
        <v>1</v>
      </c>
      <c r="D60" s="35" t="s">
        <v>145</v>
      </c>
      <c r="E60" s="35" t="s">
        <v>21</v>
      </c>
      <c r="F60" s="35" t="s">
        <v>37</v>
      </c>
      <c r="G60" s="35"/>
      <c r="H60" s="35"/>
      <c r="I60" s="35"/>
      <c r="J60" s="35"/>
      <c r="K60" s="35" t="s">
        <v>30</v>
      </c>
      <c r="L60" s="36" t="n">
        <f aca="false">IFERROR(VLOOKUP(K60,Condensadoras!$A$2:$H$77,5,0),"")</f>
        <v>0</v>
      </c>
      <c r="M60" s="36" t="n">
        <f aca="false">IFERROR(VLOOKUP(K60,Condensadoras!$A$2:$H$77,6,0),"")</f>
        <v>0</v>
      </c>
      <c r="N60" s="37" t="n">
        <v>40909</v>
      </c>
      <c r="O60" s="38" t="s">
        <v>146</v>
      </c>
    </row>
    <row r="61" customFormat="false" ht="14.25" hidden="false" customHeight="false" outlineLevel="0" collapsed="false">
      <c r="B61" s="35" t="s">
        <v>158</v>
      </c>
      <c r="C61" s="35" t="n">
        <v>1</v>
      </c>
      <c r="D61" s="35" t="s">
        <v>145</v>
      </c>
      <c r="E61" s="35" t="s">
        <v>21</v>
      </c>
      <c r="F61" s="35" t="s">
        <v>86</v>
      </c>
      <c r="G61" s="35"/>
      <c r="H61" s="35"/>
      <c r="I61" s="35"/>
      <c r="J61" s="35"/>
      <c r="K61" s="35" t="s">
        <v>85</v>
      </c>
      <c r="L61" s="36" t="str">
        <f aca="false">IFERROR(VLOOKUP(K61,Condensadoras!$A$2:$H$77,5,0),"")</f>
        <v>SUZ-KA50VA</v>
      </c>
      <c r="M61" s="36" t="n">
        <f aca="false">IFERROR(VLOOKUP(K61,Condensadoras!$A$2:$H$77,6,0),"")</f>
        <v>0</v>
      </c>
      <c r="N61" s="37" t="n">
        <v>40909</v>
      </c>
      <c r="O61" s="38" t="s">
        <v>146</v>
      </c>
    </row>
    <row r="62" customFormat="false" ht="14.25" hidden="false" customHeight="false" outlineLevel="0" collapsed="false">
      <c r="B62" s="35" t="n">
        <v>39</v>
      </c>
      <c r="C62" s="35" t="n">
        <v>1</v>
      </c>
      <c r="D62" s="35" t="s">
        <v>145</v>
      </c>
      <c r="E62" s="35" t="s">
        <v>21</v>
      </c>
      <c r="F62" s="35" t="s">
        <v>97</v>
      </c>
      <c r="G62" s="35"/>
      <c r="H62" s="35"/>
      <c r="I62" s="35"/>
      <c r="J62" s="35"/>
      <c r="K62" s="35" t="s">
        <v>96</v>
      </c>
      <c r="L62" s="36" t="str">
        <f aca="false">IFERROR(VLOOKUP(K62,Condensadoras!$A$2:$H$77,5,0),"")</f>
        <v>SUZ-M50VA</v>
      </c>
      <c r="M62" s="36" t="n">
        <f aca="false">IFERROR(VLOOKUP(K62,Condensadoras!$A$2:$H$77,6,0),"")</f>
        <v>0</v>
      </c>
      <c r="N62" s="37" t="n">
        <v>40909</v>
      </c>
      <c r="O62" s="38" t="s">
        <v>146</v>
      </c>
    </row>
    <row r="63" customFormat="false" ht="14.25" hidden="false" customHeight="false" outlineLevel="0" collapsed="false">
      <c r="B63" s="35" t="s">
        <v>159</v>
      </c>
      <c r="C63" s="35" t="n">
        <v>1</v>
      </c>
      <c r="D63" s="35" t="s">
        <v>145</v>
      </c>
      <c r="E63" s="35" t="s">
        <v>21</v>
      </c>
      <c r="F63" s="35" t="s">
        <v>99</v>
      </c>
      <c r="G63" s="35"/>
      <c r="H63" s="35"/>
      <c r="I63" s="35"/>
      <c r="J63" s="35"/>
      <c r="K63" s="35" t="s">
        <v>98</v>
      </c>
      <c r="L63" s="36" t="str">
        <f aca="false">IFERROR(VLOOKUP(K63,Condensadoras!$A$2:$H$77,5,0),"")</f>
        <v>SUZ-M35VA</v>
      </c>
      <c r="M63" s="36" t="n">
        <f aca="false">IFERROR(VLOOKUP(K63,Condensadoras!$A$2:$H$77,6,0),"")</f>
        <v>0</v>
      </c>
      <c r="N63" s="37" t="n">
        <v>40909</v>
      </c>
      <c r="O63" s="38" t="s">
        <v>146</v>
      </c>
    </row>
    <row r="64" s="41" customFormat="true" ht="14.25" hidden="false" customHeight="false" outlineLevel="0" collapsed="false">
      <c r="A64" s="1"/>
      <c r="B64" s="35" t="s">
        <v>160</v>
      </c>
      <c r="C64" s="35" t="n">
        <v>1</v>
      </c>
      <c r="D64" s="35" t="s">
        <v>145</v>
      </c>
      <c r="E64" s="35" t="s">
        <v>21</v>
      </c>
      <c r="F64" s="35" t="s">
        <v>103</v>
      </c>
      <c r="G64" s="35"/>
      <c r="H64" s="35"/>
      <c r="I64" s="35"/>
      <c r="J64" s="35"/>
      <c r="K64" s="35" t="s">
        <v>102</v>
      </c>
      <c r="L64" s="36" t="str">
        <f aca="false">IFERROR(VLOOKUP(K64,Condensadoras!$A$2:$H$77,5,0),"")</f>
        <v>SUZ-M35VA</v>
      </c>
      <c r="M64" s="36" t="n">
        <f aca="false">IFERROR(VLOOKUP(K64,Condensadoras!$A$2:$H$77,6,0),"")</f>
        <v>0</v>
      </c>
      <c r="N64" s="37" t="n">
        <v>40909</v>
      </c>
      <c r="O64" s="38" t="s">
        <v>146</v>
      </c>
      <c r="P64" s="1"/>
      <c r="Q64" s="1"/>
    </row>
    <row r="65" s="41" customFormat="true" ht="14.25" hidden="false" customHeight="false" outlineLevel="0" collapsed="false">
      <c r="A65" s="1"/>
      <c r="B65" s="35" t="n">
        <v>27</v>
      </c>
      <c r="C65" s="35" t="n">
        <v>1</v>
      </c>
      <c r="D65" s="35" t="s">
        <v>145</v>
      </c>
      <c r="E65" s="35" t="s">
        <v>21</v>
      </c>
      <c r="F65" s="35" t="s">
        <v>121</v>
      </c>
      <c r="G65" s="35"/>
      <c r="H65" s="35"/>
      <c r="I65" s="35"/>
      <c r="J65" s="35"/>
      <c r="K65" s="35" t="s">
        <v>120</v>
      </c>
      <c r="L65" s="36" t="str">
        <f aca="false">IFERROR(VLOOKUP(K65,Condensadoras!$A$2:$H$77,5,0),"")</f>
        <v>PUMY-P300YBM</v>
      </c>
      <c r="M65" s="36" t="n">
        <f aca="false">IFERROR(VLOOKUP(K65,Condensadoras!$A$2:$H$77,6,0),"")</f>
        <v>0</v>
      </c>
      <c r="N65" s="37" t="n">
        <v>40909</v>
      </c>
      <c r="O65" s="38" t="s">
        <v>146</v>
      </c>
      <c r="P65" s="1"/>
      <c r="Q65" s="1"/>
    </row>
    <row r="66" customFormat="false" ht="14.25" hidden="false" customHeight="false" outlineLevel="0" collapsed="false">
      <c r="B66" s="35" t="n">
        <v>28</v>
      </c>
      <c r="C66" s="35" t="n">
        <v>1</v>
      </c>
      <c r="D66" s="35" t="s">
        <v>145</v>
      </c>
      <c r="E66" s="35" t="s">
        <v>21</v>
      </c>
      <c r="F66" s="35" t="s">
        <v>122</v>
      </c>
      <c r="G66" s="35"/>
      <c r="H66" s="35"/>
      <c r="I66" s="35"/>
      <c r="J66" s="35"/>
      <c r="K66" s="35" t="s">
        <v>120</v>
      </c>
      <c r="L66" s="36" t="str">
        <f aca="false">IFERROR(VLOOKUP(K66,Condensadoras!$A$2:$H$77,5,0),"")</f>
        <v>PUMY-P300YBM</v>
      </c>
      <c r="M66" s="36" t="n">
        <f aca="false">IFERROR(VLOOKUP(K66,Condensadoras!$A$2:$H$77,6,0),"")</f>
        <v>0</v>
      </c>
      <c r="N66" s="37" t="n">
        <v>40909</v>
      </c>
      <c r="O66" s="38" t="s">
        <v>146</v>
      </c>
    </row>
    <row r="67" customFormat="false" ht="25.5" hidden="false" customHeight="true" outlineLevel="0" collapsed="false">
      <c r="A67" s="41"/>
      <c r="B67" s="35" t="n">
        <v>29</v>
      </c>
      <c r="C67" s="35" t="n">
        <v>1</v>
      </c>
      <c r="D67" s="35" t="s">
        <v>145</v>
      </c>
      <c r="E67" s="35" t="s">
        <v>21</v>
      </c>
      <c r="F67" s="35" t="s">
        <v>123</v>
      </c>
      <c r="G67" s="35"/>
      <c r="H67" s="35"/>
      <c r="I67" s="35"/>
      <c r="J67" s="35"/>
      <c r="K67" s="35" t="s">
        <v>120</v>
      </c>
      <c r="L67" s="36" t="str">
        <f aca="false">IFERROR(VLOOKUP(K67,Condensadoras!$A$2:$H$77,5,0),"")</f>
        <v>PUMY-P300YBM</v>
      </c>
      <c r="M67" s="36" t="n">
        <f aca="false">IFERROR(VLOOKUP(K67,Condensadoras!$A$2:$H$77,6,0),"")</f>
        <v>0</v>
      </c>
      <c r="N67" s="37" t="n">
        <v>40909</v>
      </c>
      <c r="O67" s="38" t="s">
        <v>146</v>
      </c>
      <c r="P67" s="41"/>
      <c r="Q67" s="41"/>
    </row>
    <row r="68" customFormat="false" ht="25.5" hidden="false" customHeight="true" outlineLevel="0" collapsed="false">
      <c r="A68" s="41"/>
      <c r="B68" s="39"/>
      <c r="C68" s="35" t="n">
        <v>1</v>
      </c>
      <c r="D68" s="35" t="s">
        <v>145</v>
      </c>
      <c r="E68" s="39" t="s">
        <v>21</v>
      </c>
      <c r="F68" s="39" t="s">
        <v>124</v>
      </c>
      <c r="G68" s="39"/>
      <c r="H68" s="39"/>
      <c r="I68" s="39"/>
      <c r="J68" s="39"/>
      <c r="K68" s="39" t="s">
        <v>120</v>
      </c>
      <c r="L68" s="36" t="str">
        <f aca="false">IFERROR(VLOOKUP(K68,Condensadoras!$A$2:$H$77,5,0),"")</f>
        <v>PUMY-P300YBM</v>
      </c>
      <c r="M68" s="36" t="n">
        <f aca="false">IFERROR(VLOOKUP(K68,Condensadoras!$A$2:$H$77,6,0),"")</f>
        <v>0</v>
      </c>
      <c r="N68" s="37" t="n">
        <v>40909</v>
      </c>
      <c r="O68" s="38" t="s">
        <v>146</v>
      </c>
      <c r="P68" s="41"/>
      <c r="Q68" s="41"/>
    </row>
    <row r="69" customFormat="false" ht="14.25" hidden="false" customHeight="false" outlineLevel="0" collapsed="false">
      <c r="B69" s="39"/>
      <c r="C69" s="35" t="n">
        <v>1</v>
      </c>
      <c r="D69" s="35" t="s">
        <v>145</v>
      </c>
      <c r="E69" s="39" t="s">
        <v>21</v>
      </c>
      <c r="F69" s="39" t="s">
        <v>124</v>
      </c>
      <c r="G69" s="39"/>
      <c r="H69" s="39"/>
      <c r="I69" s="39"/>
      <c r="J69" s="39"/>
      <c r="K69" s="39" t="s">
        <v>120</v>
      </c>
      <c r="L69" s="36" t="str">
        <f aca="false">IFERROR(VLOOKUP(K69,Condensadoras!$A$2:$H$77,5,0),"")</f>
        <v>PUMY-P300YBM</v>
      </c>
      <c r="M69" s="36" t="n">
        <f aca="false">IFERROR(VLOOKUP(K69,Condensadoras!$A$2:$H$77,6,0),"")</f>
        <v>0</v>
      </c>
      <c r="N69" s="37" t="n">
        <v>40909</v>
      </c>
      <c r="O69" s="38" t="s">
        <v>146</v>
      </c>
    </row>
    <row r="70" customFormat="false" ht="14.25" hidden="false" customHeight="false" outlineLevel="0" collapsed="false">
      <c r="B70" s="39"/>
      <c r="C70" s="35" t="n">
        <v>1</v>
      </c>
      <c r="D70" s="35" t="s">
        <v>145</v>
      </c>
      <c r="E70" s="39" t="s">
        <v>21</v>
      </c>
      <c r="F70" s="39" t="s">
        <v>124</v>
      </c>
      <c r="G70" s="39"/>
      <c r="H70" s="39"/>
      <c r="I70" s="39"/>
      <c r="J70" s="39"/>
      <c r="K70" s="39" t="s">
        <v>120</v>
      </c>
      <c r="L70" s="36" t="str">
        <f aca="false">IFERROR(VLOOKUP(K70,Condensadoras!$A$2:$H$77,5,0),"")</f>
        <v>PUMY-P300YBM</v>
      </c>
      <c r="M70" s="36" t="n">
        <f aca="false">IFERROR(VLOOKUP(K70,Condensadoras!$A$2:$H$77,6,0),"")</f>
        <v>0</v>
      </c>
      <c r="N70" s="37" t="n">
        <v>40909</v>
      </c>
      <c r="O70" s="38" t="s">
        <v>146</v>
      </c>
    </row>
    <row r="71" customFormat="false" ht="14.25" hidden="false" customHeight="false" outlineLevel="0" collapsed="false">
      <c r="B71" s="35" t="n">
        <v>3</v>
      </c>
      <c r="C71" s="35" t="n">
        <v>1</v>
      </c>
      <c r="D71" s="35" t="s">
        <v>145</v>
      </c>
      <c r="E71" s="35" t="s">
        <v>8</v>
      </c>
      <c r="F71" s="35" t="s">
        <v>9</v>
      </c>
      <c r="G71" s="35"/>
      <c r="H71" s="35"/>
      <c r="I71" s="35"/>
      <c r="J71" s="35"/>
      <c r="K71" s="35" t="s">
        <v>7</v>
      </c>
      <c r="L71" s="36" t="n">
        <f aca="false">IFERROR(VLOOKUP(K71,Condensadoras!$A$2:$H$77,5,0),"")</f>
        <v>0</v>
      </c>
      <c r="M71" s="36" t="n">
        <f aca="false">IFERROR(VLOOKUP(K71,Condensadoras!$A$2:$H$77,6,0),"")</f>
        <v>0</v>
      </c>
      <c r="N71" s="37" t="n">
        <v>40909</v>
      </c>
      <c r="O71" s="38" t="s">
        <v>146</v>
      </c>
    </row>
    <row r="72" customFormat="false" ht="14.25" hidden="false" customHeight="false" outlineLevel="0" collapsed="false">
      <c r="B72" s="35" t="n">
        <v>4</v>
      </c>
      <c r="C72" s="35" t="n">
        <v>1</v>
      </c>
      <c r="D72" s="35" t="s">
        <v>145</v>
      </c>
      <c r="E72" s="35" t="s">
        <v>8</v>
      </c>
      <c r="F72" s="35" t="s">
        <v>9</v>
      </c>
      <c r="G72" s="35"/>
      <c r="H72" s="35"/>
      <c r="I72" s="35"/>
      <c r="J72" s="35"/>
      <c r="K72" s="35" t="s">
        <v>7</v>
      </c>
      <c r="L72" s="36" t="n">
        <f aca="false">IFERROR(VLOOKUP(K72,Condensadoras!$A$2:$H$77,5,0),"")</f>
        <v>0</v>
      </c>
      <c r="M72" s="36" t="n">
        <f aca="false">IFERROR(VLOOKUP(K72,Condensadoras!$A$2:$H$77,6,0),"")</f>
        <v>0</v>
      </c>
      <c r="N72" s="37" t="n">
        <v>40909</v>
      </c>
      <c r="O72" s="38" t="s">
        <v>146</v>
      </c>
    </row>
    <row r="73" customFormat="false" ht="14.25" hidden="false" customHeight="false" outlineLevel="0" collapsed="false">
      <c r="B73" s="35" t="n">
        <v>5</v>
      </c>
      <c r="C73" s="35" t="n">
        <v>1</v>
      </c>
      <c r="D73" s="35" t="s">
        <v>145</v>
      </c>
      <c r="E73" s="35" t="s">
        <v>8</v>
      </c>
      <c r="F73" s="35" t="s">
        <v>9</v>
      </c>
      <c r="G73" s="35"/>
      <c r="H73" s="35"/>
      <c r="I73" s="35"/>
      <c r="J73" s="35"/>
      <c r="K73" s="35" t="s">
        <v>7</v>
      </c>
      <c r="L73" s="36" t="n">
        <f aca="false">IFERROR(VLOOKUP(K73,Condensadoras!$A$2:$H$77,5,0),"")</f>
        <v>0</v>
      </c>
      <c r="M73" s="36" t="n">
        <f aca="false">IFERROR(VLOOKUP(K73,Condensadoras!$A$2:$H$77,6,0),"")</f>
        <v>0</v>
      </c>
      <c r="N73" s="37" t="n">
        <v>42005</v>
      </c>
      <c r="O73" s="38" t="s">
        <v>146</v>
      </c>
    </row>
    <row r="74" customFormat="false" ht="14.25" hidden="false" customHeight="false" outlineLevel="0" collapsed="false">
      <c r="B74" s="35" t="n">
        <v>6</v>
      </c>
      <c r="C74" s="35" t="n">
        <v>1</v>
      </c>
      <c r="D74" s="35" t="s">
        <v>145</v>
      </c>
      <c r="E74" s="35" t="s">
        <v>8</v>
      </c>
      <c r="F74" s="35" t="s">
        <v>13</v>
      </c>
      <c r="G74" s="35"/>
      <c r="H74" s="35"/>
      <c r="I74" s="35"/>
      <c r="J74" s="35"/>
      <c r="K74" s="35" t="s">
        <v>7</v>
      </c>
      <c r="L74" s="36" t="n">
        <f aca="false">IFERROR(VLOOKUP(K74,Condensadoras!$A$2:$H$77,5,0),"")</f>
        <v>0</v>
      </c>
      <c r="M74" s="36" t="n">
        <f aca="false">IFERROR(VLOOKUP(K74,Condensadoras!$A$2:$H$77,6,0),"")</f>
        <v>0</v>
      </c>
      <c r="N74" s="37" t="n">
        <v>42005</v>
      </c>
      <c r="O74" s="38" t="s">
        <v>146</v>
      </c>
    </row>
    <row r="75" s="41" customFormat="true" ht="14.25" hidden="false" customHeight="false" outlineLevel="0" collapsed="false">
      <c r="A75" s="1"/>
      <c r="B75" s="35" t="n">
        <v>7</v>
      </c>
      <c r="C75" s="35" t="n">
        <v>1</v>
      </c>
      <c r="D75" s="35" t="s">
        <v>145</v>
      </c>
      <c r="E75" s="35" t="s">
        <v>8</v>
      </c>
      <c r="F75" s="35" t="s">
        <v>14</v>
      </c>
      <c r="G75" s="35"/>
      <c r="H75" s="35"/>
      <c r="I75" s="35"/>
      <c r="J75" s="35"/>
      <c r="K75" s="35" t="s">
        <v>7</v>
      </c>
      <c r="L75" s="36" t="n">
        <f aca="false">IFERROR(VLOOKUP(K75,Condensadoras!$A$2:$H$77,5,0),"")</f>
        <v>0</v>
      </c>
      <c r="M75" s="36" t="n">
        <f aca="false">IFERROR(VLOOKUP(K75,Condensadoras!$A$2:$H$77,6,0),"")</f>
        <v>0</v>
      </c>
      <c r="N75" s="37" t="n">
        <v>40909</v>
      </c>
      <c r="O75" s="38" t="s">
        <v>146</v>
      </c>
      <c r="P75" s="1"/>
      <c r="Q75" s="1"/>
    </row>
    <row r="76" s="41" customFormat="true" ht="14.25" hidden="false" customHeight="false" outlineLevel="0" collapsed="false">
      <c r="A76" s="1"/>
      <c r="B76" s="35" t="n">
        <v>8</v>
      </c>
      <c r="C76" s="35" t="n">
        <v>1</v>
      </c>
      <c r="D76" s="35" t="s">
        <v>145</v>
      </c>
      <c r="E76" s="35" t="s">
        <v>8</v>
      </c>
      <c r="F76" s="35" t="s">
        <v>17</v>
      </c>
      <c r="G76" s="35"/>
      <c r="H76" s="35"/>
      <c r="I76" s="35"/>
      <c r="J76" s="35"/>
      <c r="K76" s="35" t="s">
        <v>7</v>
      </c>
      <c r="L76" s="36" t="n">
        <f aca="false">IFERROR(VLOOKUP(K76,Condensadoras!$A$2:$H$77,5,0),"")</f>
        <v>0</v>
      </c>
      <c r="M76" s="36" t="n">
        <f aca="false">IFERROR(VLOOKUP(K76,Condensadoras!$A$2:$H$77,6,0),"")</f>
        <v>0</v>
      </c>
      <c r="N76" s="37" t="n">
        <v>40909</v>
      </c>
      <c r="O76" s="38" t="s">
        <v>146</v>
      </c>
      <c r="P76" s="1"/>
      <c r="Q76" s="1"/>
    </row>
    <row r="77" s="41" customFormat="true" ht="14.25" hidden="false" customHeight="false" outlineLevel="0" collapsed="false">
      <c r="A77" s="1"/>
      <c r="B77" s="35" t="n">
        <v>9</v>
      </c>
      <c r="C77" s="35" t="n">
        <v>1</v>
      </c>
      <c r="D77" s="35" t="s">
        <v>145</v>
      </c>
      <c r="E77" s="35" t="s">
        <v>8</v>
      </c>
      <c r="F77" s="35" t="s">
        <v>15</v>
      </c>
      <c r="G77" s="35"/>
      <c r="H77" s="35"/>
      <c r="I77" s="35"/>
      <c r="J77" s="35"/>
      <c r="K77" s="35" t="s">
        <v>7</v>
      </c>
      <c r="L77" s="36" t="n">
        <f aca="false">IFERROR(VLOOKUP(K77,Condensadoras!$A$2:$H$77,5,0),"")</f>
        <v>0</v>
      </c>
      <c r="M77" s="36" t="n">
        <f aca="false">IFERROR(VLOOKUP(K77,Condensadoras!$A$2:$H$77,6,0),"")</f>
        <v>0</v>
      </c>
      <c r="N77" s="37" t="n">
        <v>40909</v>
      </c>
      <c r="O77" s="38" t="s">
        <v>146</v>
      </c>
      <c r="P77" s="1"/>
      <c r="Q77" s="1"/>
    </row>
    <row r="78" s="41" customFormat="true" ht="27.75" hidden="false" customHeight="true" outlineLevel="0" collapsed="false">
      <c r="B78" s="35" t="n">
        <v>10</v>
      </c>
      <c r="C78" s="35" t="n">
        <v>1</v>
      </c>
      <c r="D78" s="35" t="s">
        <v>145</v>
      </c>
      <c r="E78" s="35" t="s">
        <v>8</v>
      </c>
      <c r="F78" s="35" t="s">
        <v>16</v>
      </c>
      <c r="G78" s="35"/>
      <c r="H78" s="35"/>
      <c r="I78" s="35"/>
      <c r="J78" s="35"/>
      <c r="K78" s="35" t="s">
        <v>7</v>
      </c>
      <c r="L78" s="36" t="n">
        <f aca="false">IFERROR(VLOOKUP(K78,Condensadoras!$A$2:$H$77,5,0),"")</f>
        <v>0</v>
      </c>
      <c r="M78" s="36" t="n">
        <f aca="false">IFERROR(VLOOKUP(K78,Condensadoras!$A$2:$H$77,6,0),"")</f>
        <v>0</v>
      </c>
      <c r="N78" s="37" t="n">
        <v>38718</v>
      </c>
      <c r="O78" s="38" t="s">
        <v>146</v>
      </c>
    </row>
    <row r="79" s="41" customFormat="true" ht="27.75" hidden="false" customHeight="true" outlineLevel="0" collapsed="false">
      <c r="B79" s="35" t="n">
        <v>11</v>
      </c>
      <c r="C79" s="35" t="n">
        <v>1</v>
      </c>
      <c r="D79" s="35" t="s">
        <v>145</v>
      </c>
      <c r="E79" s="35" t="s">
        <v>8</v>
      </c>
      <c r="F79" s="35" t="s">
        <v>12</v>
      </c>
      <c r="G79" s="35"/>
      <c r="H79" s="35"/>
      <c r="I79" s="35"/>
      <c r="J79" s="35"/>
      <c r="K79" s="35" t="s">
        <v>7</v>
      </c>
      <c r="L79" s="36" t="n">
        <f aca="false">IFERROR(VLOOKUP(K79,Condensadoras!$A$2:$H$77,5,0),"")</f>
        <v>0</v>
      </c>
      <c r="M79" s="36" t="n">
        <f aca="false">IFERROR(VLOOKUP(K79,Condensadoras!$A$2:$H$77,6,0),"")</f>
        <v>0</v>
      </c>
      <c r="N79" s="37" t="n">
        <v>38718</v>
      </c>
      <c r="O79" s="38" t="s">
        <v>146</v>
      </c>
    </row>
    <row r="80" s="41" customFormat="true" ht="27.75" hidden="false" customHeight="true" outlineLevel="0" collapsed="false">
      <c r="B80" s="35" t="n">
        <v>12</v>
      </c>
      <c r="C80" s="35" t="n">
        <v>1</v>
      </c>
      <c r="D80" s="35" t="s">
        <v>145</v>
      </c>
      <c r="E80" s="35" t="s">
        <v>8</v>
      </c>
      <c r="F80" s="35" t="s">
        <v>10</v>
      </c>
      <c r="G80" s="35"/>
      <c r="H80" s="35"/>
      <c r="I80" s="35"/>
      <c r="J80" s="35"/>
      <c r="K80" s="35" t="s">
        <v>7</v>
      </c>
      <c r="L80" s="36" t="n">
        <f aca="false">IFERROR(VLOOKUP(K80,Condensadoras!$A$2:$H$77,5,0),"")</f>
        <v>0</v>
      </c>
      <c r="M80" s="36" t="n">
        <f aca="false">IFERROR(VLOOKUP(K80,Condensadoras!$A$2:$H$77,6,0),"")</f>
        <v>0</v>
      </c>
      <c r="N80" s="37" t="n">
        <v>38718</v>
      </c>
      <c r="O80" s="38" t="s">
        <v>146</v>
      </c>
    </row>
    <row r="81" s="41" customFormat="true" ht="27.75" hidden="false" customHeight="true" outlineLevel="0" collapsed="false">
      <c r="B81" s="35" t="n">
        <v>13</v>
      </c>
      <c r="C81" s="35" t="n">
        <v>1</v>
      </c>
      <c r="D81" s="35" t="s">
        <v>145</v>
      </c>
      <c r="E81" s="35" t="s">
        <v>8</v>
      </c>
      <c r="F81" s="35" t="s">
        <v>11</v>
      </c>
      <c r="G81" s="35"/>
      <c r="H81" s="35"/>
      <c r="I81" s="35"/>
      <c r="J81" s="35"/>
      <c r="K81" s="35" t="s">
        <v>7</v>
      </c>
      <c r="L81" s="36" t="n">
        <f aca="false">IFERROR(VLOOKUP(K81,Condensadoras!$A$2:$H$77,5,0),"")</f>
        <v>0</v>
      </c>
      <c r="M81" s="36" t="n">
        <f aca="false">IFERROR(VLOOKUP(K81,Condensadoras!$A$2:$H$77,6,0),"")</f>
        <v>0</v>
      </c>
      <c r="N81" s="37" t="n">
        <v>43831</v>
      </c>
      <c r="O81" s="38" t="s">
        <v>146</v>
      </c>
    </row>
    <row r="82" s="41" customFormat="true" ht="27.75" hidden="false" customHeight="true" outlineLevel="0" collapsed="false">
      <c r="B82" s="35" t="n">
        <v>14</v>
      </c>
      <c r="C82" s="35" t="n">
        <v>1</v>
      </c>
      <c r="D82" s="35" t="s">
        <v>145</v>
      </c>
      <c r="E82" s="35" t="s">
        <v>8</v>
      </c>
      <c r="F82" s="35" t="s">
        <v>18</v>
      </c>
      <c r="G82" s="35"/>
      <c r="H82" s="35"/>
      <c r="I82" s="35"/>
      <c r="J82" s="35"/>
      <c r="K82" s="35" t="s">
        <v>7</v>
      </c>
      <c r="L82" s="36" t="n">
        <f aca="false">IFERROR(VLOOKUP(K82,Condensadoras!$A$2:$H$77,5,0),"")</f>
        <v>0</v>
      </c>
      <c r="M82" s="36" t="n">
        <f aca="false">IFERROR(VLOOKUP(K82,Condensadoras!$A$2:$H$77,6,0),"")</f>
        <v>0</v>
      </c>
      <c r="N82" s="37" t="n">
        <v>42005</v>
      </c>
      <c r="O82" s="38" t="s">
        <v>146</v>
      </c>
    </row>
    <row r="83" s="41" customFormat="true" ht="27.75" hidden="false" customHeight="true" outlineLevel="0" collapsed="false">
      <c r="B83" s="35" t="n">
        <v>15</v>
      </c>
      <c r="C83" s="35" t="n">
        <v>1</v>
      </c>
      <c r="D83" s="35" t="s">
        <v>145</v>
      </c>
      <c r="E83" s="35" t="s">
        <v>8</v>
      </c>
      <c r="F83" s="35" t="s">
        <v>19</v>
      </c>
      <c r="G83" s="35"/>
      <c r="H83" s="35"/>
      <c r="I83" s="35"/>
      <c r="J83" s="35"/>
      <c r="K83" s="35" t="s">
        <v>7</v>
      </c>
      <c r="L83" s="36" t="n">
        <f aca="false">IFERROR(VLOOKUP(K83,Condensadoras!$A$2:$H$77,5,0),"")</f>
        <v>0</v>
      </c>
      <c r="M83" s="36" t="n">
        <f aca="false">IFERROR(VLOOKUP(K83,Condensadoras!$A$2:$H$77,6,0),"")</f>
        <v>0</v>
      </c>
      <c r="N83" s="37" t="str">
        <f aca="false">IF(IFERROR(VLOOKUP(K83,Condensadoras!$A$2:$I$77,7,0),"")=0,"",VLOOKUP(K83,Condensadoras!$A$2:$I$77,7,0))</f>
        <v>Azotea - Detrás</v>
      </c>
      <c r="O83" s="38"/>
    </row>
    <row r="84" s="41" customFormat="true" ht="27.75" hidden="false" customHeight="true" outlineLevel="0" collapsed="false">
      <c r="B84" s="35" t="s">
        <v>161</v>
      </c>
      <c r="C84" s="35" t="n">
        <v>1</v>
      </c>
      <c r="D84" s="35" t="s">
        <v>145</v>
      </c>
      <c r="E84" s="35" t="s">
        <v>8</v>
      </c>
      <c r="F84" s="35" t="s">
        <v>56</v>
      </c>
      <c r="G84" s="35"/>
      <c r="H84" s="35"/>
      <c r="I84" s="35"/>
      <c r="J84" s="35"/>
      <c r="K84" s="35" t="s">
        <v>55</v>
      </c>
      <c r="L84" s="36" t="str">
        <f aca="false">IFERROR(VLOOKUP(K84,Condensadoras!$A$2:$H$77,5,0),"")</f>
        <v>SUZ-SM71VA</v>
      </c>
      <c r="M84" s="36" t="n">
        <f aca="false">IFERROR(VLOOKUP(K84,Condensadoras!$A$2:$H$77,6,0),"")</f>
        <v>0</v>
      </c>
      <c r="N84" s="37" t="n">
        <v>42005</v>
      </c>
      <c r="O84" s="38" t="s">
        <v>146</v>
      </c>
    </row>
    <row r="85" s="41" customFormat="true" ht="27.75" hidden="false" customHeight="true" outlineLevel="0" collapsed="false">
      <c r="B85" s="35" t="s">
        <v>162</v>
      </c>
      <c r="C85" s="35" t="n">
        <v>1</v>
      </c>
      <c r="D85" s="35" t="s">
        <v>145</v>
      </c>
      <c r="E85" s="35" t="s">
        <v>8</v>
      </c>
      <c r="F85" s="35" t="s">
        <v>58</v>
      </c>
      <c r="G85" s="35"/>
      <c r="H85" s="35"/>
      <c r="I85" s="35"/>
      <c r="J85" s="35"/>
      <c r="K85" s="35" t="s">
        <v>57</v>
      </c>
      <c r="L85" s="36" t="str">
        <f aca="false">IFERROR(VLOOKUP(K85,Condensadoras!$A$2:$H$77,5,0),"")</f>
        <v>SUZ-SM71VA</v>
      </c>
      <c r="M85" s="36" t="n">
        <f aca="false">IFERROR(VLOOKUP(K85,Condensadoras!$A$2:$H$77,6,0),"")</f>
        <v>0</v>
      </c>
      <c r="N85" s="37" t="n">
        <v>42005</v>
      </c>
      <c r="O85" s="38" t="s">
        <v>146</v>
      </c>
    </row>
    <row r="86" s="41" customFormat="true" ht="27.75" hidden="false" customHeight="true" outlineLevel="0" collapsed="false">
      <c r="B86" s="35" t="s">
        <v>163</v>
      </c>
      <c r="C86" s="35" t="n">
        <v>1</v>
      </c>
      <c r="D86" s="35" t="s">
        <v>145</v>
      </c>
      <c r="E86" s="35" t="s">
        <v>8</v>
      </c>
      <c r="F86" s="35" t="s">
        <v>87</v>
      </c>
      <c r="G86" s="35"/>
      <c r="H86" s="35"/>
      <c r="I86" s="35"/>
      <c r="J86" s="35"/>
      <c r="K86" s="35" t="s">
        <v>85</v>
      </c>
      <c r="L86" s="36" t="str">
        <f aca="false">IFERROR(VLOOKUP(K86,Condensadoras!$A$2:$H$77,5,0),"")</f>
        <v>SUZ-KA50VA</v>
      </c>
      <c r="M86" s="36" t="n">
        <f aca="false">IFERROR(VLOOKUP(K86,Condensadoras!$A$2:$H$77,6,0),"")</f>
        <v>0</v>
      </c>
      <c r="N86" s="37" t="n">
        <v>42005</v>
      </c>
      <c r="O86" s="38" t="s">
        <v>146</v>
      </c>
    </row>
    <row r="87" customFormat="false" ht="27.75" hidden="false" customHeight="true" outlineLevel="0" collapsed="false">
      <c r="A87" s="41"/>
      <c r="B87" s="35" t="s">
        <v>164</v>
      </c>
      <c r="C87" s="35" t="n">
        <v>1</v>
      </c>
      <c r="D87" s="35" t="s">
        <v>145</v>
      </c>
      <c r="E87" s="35" t="s">
        <v>8</v>
      </c>
      <c r="F87" s="35" t="s">
        <v>89</v>
      </c>
      <c r="G87" s="35"/>
      <c r="H87" s="35"/>
      <c r="I87" s="35"/>
      <c r="J87" s="35"/>
      <c r="K87" s="35" t="s">
        <v>88</v>
      </c>
      <c r="L87" s="36" t="str">
        <f aca="false">IFERROR(VLOOKUP(K87,Condensadoras!$A$2:$H$77,5,0),"")</f>
        <v>SUZ-KA50VA</v>
      </c>
      <c r="M87" s="36" t="n">
        <f aca="false">IFERROR(VLOOKUP(K87,Condensadoras!$A$2:$H$77,6,0),"")</f>
        <v>0</v>
      </c>
      <c r="N87" s="37" t="n">
        <v>42005</v>
      </c>
      <c r="O87" s="38" t="s">
        <v>146</v>
      </c>
      <c r="P87" s="41"/>
      <c r="Q87" s="41"/>
    </row>
    <row r="88" customFormat="false" ht="27.75" hidden="false" customHeight="true" outlineLevel="0" collapsed="false">
      <c r="A88" s="41"/>
      <c r="B88" s="35" t="n">
        <v>33</v>
      </c>
      <c r="C88" s="35" t="n">
        <v>1</v>
      </c>
      <c r="D88" s="35" t="s">
        <v>145</v>
      </c>
      <c r="E88" s="35" t="s">
        <v>8</v>
      </c>
      <c r="F88" s="35" t="s">
        <v>91</v>
      </c>
      <c r="G88" s="35"/>
      <c r="H88" s="35"/>
      <c r="I88" s="35"/>
      <c r="J88" s="35"/>
      <c r="K88" s="35" t="s">
        <v>90</v>
      </c>
      <c r="L88" s="36" t="str">
        <f aca="false">IFERROR(VLOOKUP(K88,Condensadoras!$A$2:$H$77,5,0),"")</f>
        <v>PUHZ-RP140YKA</v>
      </c>
      <c r="M88" s="36" t="n">
        <f aca="false">IFERROR(VLOOKUP(K88,Condensadoras!$A$2:$H$77,6,0),"")</f>
        <v>0</v>
      </c>
      <c r="N88" s="37" t="n">
        <v>42005</v>
      </c>
      <c r="O88" s="38" t="s">
        <v>146</v>
      </c>
      <c r="P88" s="41"/>
      <c r="Q88" s="41"/>
    </row>
    <row r="89" customFormat="false" ht="27.75" hidden="false" customHeight="true" outlineLevel="0" collapsed="false">
      <c r="A89" s="41"/>
      <c r="B89" s="35" t="n">
        <v>34</v>
      </c>
      <c r="C89" s="35" t="n">
        <v>1</v>
      </c>
      <c r="D89" s="35" t="s">
        <v>145</v>
      </c>
      <c r="E89" s="35" t="s">
        <v>8</v>
      </c>
      <c r="F89" s="35" t="s">
        <v>93</v>
      </c>
      <c r="G89" s="35"/>
      <c r="H89" s="35"/>
      <c r="I89" s="35"/>
      <c r="J89" s="35"/>
      <c r="K89" s="35" t="s">
        <v>92</v>
      </c>
      <c r="L89" s="36" t="str">
        <f aca="false">IFERROR(VLOOKUP(K89,Condensadoras!$A$2:$H$77,5,0),"")</f>
        <v>PUHZ-RP140YKA</v>
      </c>
      <c r="M89" s="36" t="n">
        <f aca="false">IFERROR(VLOOKUP(K89,Condensadoras!$A$2:$H$77,6,0),"")</f>
        <v>0</v>
      </c>
      <c r="N89" s="37" t="n">
        <v>42005</v>
      </c>
      <c r="O89" s="38" t="s">
        <v>146</v>
      </c>
      <c r="P89" s="41"/>
      <c r="Q89" s="41"/>
    </row>
    <row r="90" customFormat="false" ht="14.25" hidden="false" customHeight="false" outlineLevel="0" collapsed="false">
      <c r="B90" s="35" t="n">
        <v>35</v>
      </c>
      <c r="C90" s="35" t="n">
        <v>1</v>
      </c>
      <c r="D90" s="35" t="s">
        <v>145</v>
      </c>
      <c r="E90" s="35" t="s">
        <v>8</v>
      </c>
      <c r="F90" s="35" t="s">
        <v>95</v>
      </c>
      <c r="G90" s="35"/>
      <c r="H90" s="35"/>
      <c r="I90" s="35"/>
      <c r="J90" s="35"/>
      <c r="K90" s="35" t="s">
        <v>94</v>
      </c>
      <c r="L90" s="36" t="str">
        <f aca="false">IFERROR(VLOOKUP(K90,Condensadoras!$A$2:$H$77,5,0),"")</f>
        <v>PUHZ-RP140YKA</v>
      </c>
      <c r="M90" s="36" t="n">
        <f aca="false">IFERROR(VLOOKUP(K90,Condensadoras!$A$2:$H$77,6,0),"")</f>
        <v>0</v>
      </c>
      <c r="N90" s="37" t="str">
        <f aca="false">IF(IFERROR(VLOOKUP(K90,Condensadoras!$A$2:$I$77,7,0),"")=0,"",VLOOKUP(K90,Condensadoras!$A$2:$I$77,7,0))</f>
        <v>Azotea - Frente</v>
      </c>
    </row>
    <row r="91" customFormat="false" ht="14.25" hidden="false" customHeight="false" outlineLevel="0" collapsed="false">
      <c r="B91" s="35" t="s">
        <v>165</v>
      </c>
      <c r="C91" s="35" t="n">
        <v>1</v>
      </c>
      <c r="D91" s="35" t="s">
        <v>145</v>
      </c>
      <c r="E91" s="35" t="s">
        <v>8</v>
      </c>
      <c r="F91" s="35" t="s">
        <v>117</v>
      </c>
      <c r="G91" s="35"/>
      <c r="H91" s="35"/>
      <c r="I91" s="35"/>
      <c r="J91" s="35"/>
      <c r="K91" s="35" t="s">
        <v>113</v>
      </c>
      <c r="L91" s="36" t="str">
        <f aca="false">IFERROR(VLOOKUP(K91,Condensadoras!$A$2:$H$77,5,0),"")</f>
        <v>PUMY-P300YBM2</v>
      </c>
      <c r="M91" s="36" t="n">
        <f aca="false">IFERROR(VLOOKUP(K91,Condensadoras!$A$2:$H$77,6,0),"")</f>
        <v>0</v>
      </c>
      <c r="N91" s="37" t="str">
        <f aca="false">IF(IFERROR(VLOOKUP(K91,Condensadoras!$A$2:$I$77,7,0),"")=0,"",VLOOKUP(K91,Condensadoras!$A$2:$I$77,7,0))</f>
        <v>Azotea-Detrás</v>
      </c>
    </row>
    <row r="92" customFormat="false" ht="14.25" hidden="false" customHeight="false" outlineLevel="0" collapsed="false">
      <c r="B92" s="42" t="n">
        <v>22</v>
      </c>
      <c r="C92" s="35" t="n">
        <v>1</v>
      </c>
      <c r="D92" s="35" t="s">
        <v>145</v>
      </c>
      <c r="E92" s="42" t="s">
        <v>60</v>
      </c>
      <c r="F92" s="42" t="s">
        <v>66</v>
      </c>
      <c r="G92" s="42"/>
      <c r="H92" s="42"/>
      <c r="I92" s="42"/>
      <c r="J92" s="42"/>
      <c r="K92" s="42" t="s">
        <v>59</v>
      </c>
      <c r="L92" s="43" t="n">
        <f aca="false">IFERROR(VLOOKUP(K92,Condensadoras!$A$2:$H$77,5,0),"")</f>
        <v>0</v>
      </c>
      <c r="M92" s="43" t="n">
        <f aca="false">IFERROR(VLOOKUP(K92,Condensadoras!$A$2:$H$77,6,0),"")</f>
        <v>0</v>
      </c>
      <c r="N92" s="37" t="str">
        <f aca="false">IF(IFERROR(VLOOKUP(K92,Condensadoras!$A$2:$I$77,7,0),"")=0,"",VLOOKUP(K92,Condensadoras!$A$2:$I$77,7,0))</f>
        <v>Azotea - Detrás</v>
      </c>
    </row>
    <row r="93" customFormat="false" ht="14.25" hidden="false" customHeight="false" outlineLevel="0" collapsed="false">
      <c r="B93" s="42" t="n">
        <v>23</v>
      </c>
      <c r="C93" s="35" t="n">
        <v>1</v>
      </c>
      <c r="D93" s="35" t="s">
        <v>145</v>
      </c>
      <c r="E93" s="42" t="s">
        <v>60</v>
      </c>
      <c r="F93" s="42" t="s">
        <v>61</v>
      </c>
      <c r="G93" s="42"/>
      <c r="H93" s="42"/>
      <c r="I93" s="42"/>
      <c r="J93" s="42"/>
      <c r="K93" s="42" t="s">
        <v>59</v>
      </c>
      <c r="L93" s="43" t="n">
        <f aca="false">IFERROR(VLOOKUP(K93,Condensadoras!$A$2:$H$77,5,0),"")</f>
        <v>0</v>
      </c>
      <c r="M93" s="43" t="n">
        <f aca="false">IFERROR(VLOOKUP(K93,Condensadoras!$A$2:$H$77,6,0),"")</f>
        <v>0</v>
      </c>
      <c r="N93" s="37" t="str">
        <f aca="false">IF(IFERROR(VLOOKUP(K93,Condensadoras!$A$2:$I$77,7,0),"")=0,"",VLOOKUP(K93,Condensadoras!$A$2:$I$77,7,0))</f>
        <v>Azotea - Detrás</v>
      </c>
    </row>
    <row r="94" customFormat="false" ht="14.25" hidden="false" customHeight="false" outlineLevel="0" collapsed="false">
      <c r="B94" s="42" t="n">
        <v>24</v>
      </c>
      <c r="C94" s="35" t="n">
        <v>1</v>
      </c>
      <c r="D94" s="35" t="s">
        <v>145</v>
      </c>
      <c r="E94" s="42" t="s">
        <v>60</v>
      </c>
      <c r="F94" s="42" t="s">
        <v>62</v>
      </c>
      <c r="G94" s="42"/>
      <c r="H94" s="42"/>
      <c r="I94" s="42"/>
      <c r="J94" s="42"/>
      <c r="K94" s="42" t="s">
        <v>59</v>
      </c>
      <c r="L94" s="43" t="n">
        <f aca="false">IFERROR(VLOOKUP(K94,Condensadoras!$A$2:$H$77,5,0),"")</f>
        <v>0</v>
      </c>
      <c r="M94" s="43" t="n">
        <f aca="false">IFERROR(VLOOKUP(K94,Condensadoras!$A$2:$H$77,6,0),"")</f>
        <v>0</v>
      </c>
      <c r="N94" s="37" t="n">
        <v>43831</v>
      </c>
      <c r="O94" s="38" t="s">
        <v>146</v>
      </c>
    </row>
    <row r="95" customFormat="false" ht="14.25" hidden="false" customHeight="false" outlineLevel="0" collapsed="false">
      <c r="B95" s="42" t="n">
        <v>25</v>
      </c>
      <c r="C95" s="35" t="n">
        <v>1</v>
      </c>
      <c r="D95" s="35" t="s">
        <v>145</v>
      </c>
      <c r="E95" s="42" t="s">
        <v>60</v>
      </c>
      <c r="F95" s="42" t="s">
        <v>63</v>
      </c>
      <c r="G95" s="42"/>
      <c r="H95" s="42"/>
      <c r="I95" s="42"/>
      <c r="J95" s="42"/>
      <c r="K95" s="42" t="s">
        <v>59</v>
      </c>
      <c r="L95" s="43" t="n">
        <f aca="false">IFERROR(VLOOKUP(K95,Condensadoras!$A$2:$H$77,5,0),"")</f>
        <v>0</v>
      </c>
      <c r="M95" s="43" t="n">
        <f aca="false">IFERROR(VLOOKUP(K95,Condensadoras!$A$2:$H$77,6,0),"")</f>
        <v>0</v>
      </c>
      <c r="N95" s="37" t="n">
        <v>43831</v>
      </c>
      <c r="O95" s="38" t="s">
        <v>146</v>
      </c>
    </row>
    <row r="96" customFormat="false" ht="14.25" hidden="false" customHeight="false" outlineLevel="0" collapsed="false">
      <c r="B96" s="42" t="n">
        <v>26</v>
      </c>
      <c r="C96" s="35" t="n">
        <v>1</v>
      </c>
      <c r="D96" s="35" t="s">
        <v>145</v>
      </c>
      <c r="E96" s="42" t="s">
        <v>60</v>
      </c>
      <c r="F96" s="42" t="s">
        <v>64</v>
      </c>
      <c r="G96" s="42"/>
      <c r="H96" s="42"/>
      <c r="I96" s="42"/>
      <c r="J96" s="42"/>
      <c r="K96" s="42" t="s">
        <v>59</v>
      </c>
      <c r="L96" s="43" t="n">
        <f aca="false">IFERROR(VLOOKUP(K96,Condensadoras!$A$2:$H$77,5,0),"")</f>
        <v>0</v>
      </c>
      <c r="M96" s="43" t="n">
        <f aca="false">IFERROR(VLOOKUP(K96,Condensadoras!$A$2:$H$77,6,0),"")</f>
        <v>0</v>
      </c>
      <c r="N96" s="37" t="n">
        <v>42005</v>
      </c>
      <c r="O96" s="38" t="s">
        <v>146</v>
      </c>
    </row>
    <row r="97" customFormat="false" ht="14.25" hidden="false" customHeight="false" outlineLevel="0" collapsed="false">
      <c r="B97" s="42" t="n">
        <v>27</v>
      </c>
      <c r="C97" s="35" t="n">
        <v>1</v>
      </c>
      <c r="D97" s="35" t="s">
        <v>145</v>
      </c>
      <c r="E97" s="42" t="s">
        <v>60</v>
      </c>
      <c r="F97" s="42" t="s">
        <v>65</v>
      </c>
      <c r="G97" s="42"/>
      <c r="H97" s="42"/>
      <c r="I97" s="42"/>
      <c r="J97" s="42"/>
      <c r="K97" s="42" t="s">
        <v>59</v>
      </c>
      <c r="L97" s="43" t="n">
        <f aca="false">IFERROR(VLOOKUP(K97,Condensadoras!$A$2:$H$77,5,0),"")</f>
        <v>0</v>
      </c>
      <c r="M97" s="43" t="n">
        <f aca="false">IFERROR(VLOOKUP(K97,Condensadoras!$A$2:$H$77,6,0),"")</f>
        <v>0</v>
      </c>
      <c r="N97" s="37" t="n">
        <v>42005</v>
      </c>
      <c r="O97" s="38" t="s">
        <v>146</v>
      </c>
    </row>
    <row r="98" customFormat="false" ht="14.25" hidden="false" customHeight="false" outlineLevel="0" collapsed="false">
      <c r="B98" s="42" t="n">
        <v>28</v>
      </c>
      <c r="C98" s="35" t="n">
        <v>1</v>
      </c>
      <c r="D98" s="35" t="s">
        <v>145</v>
      </c>
      <c r="E98" s="42" t="s">
        <v>60</v>
      </c>
      <c r="F98" s="42" t="s">
        <v>65</v>
      </c>
      <c r="G98" s="42"/>
      <c r="H98" s="42"/>
      <c r="I98" s="42"/>
      <c r="J98" s="42"/>
      <c r="K98" s="42" t="s">
        <v>59</v>
      </c>
      <c r="L98" s="43" t="n">
        <f aca="false">IFERROR(VLOOKUP(K98,Condensadoras!$A$2:$H$77,5,0),"")</f>
        <v>0</v>
      </c>
      <c r="M98" s="43" t="n">
        <f aca="false">IFERROR(VLOOKUP(K98,Condensadoras!$A$2:$H$77,6,0),"")</f>
        <v>0</v>
      </c>
      <c r="N98" s="37" t="n">
        <v>42005</v>
      </c>
      <c r="O98" s="38" t="s">
        <v>146</v>
      </c>
    </row>
    <row r="99" customFormat="false" ht="14.25" hidden="false" customHeight="false" outlineLevel="0" collapsed="false">
      <c r="B99" s="42" t="n">
        <v>29</v>
      </c>
      <c r="C99" s="35" t="n">
        <v>1</v>
      </c>
      <c r="D99" s="35" t="s">
        <v>145</v>
      </c>
      <c r="E99" s="42" t="s">
        <v>60</v>
      </c>
      <c r="F99" s="42" t="s">
        <v>65</v>
      </c>
      <c r="G99" s="42"/>
      <c r="H99" s="42"/>
      <c r="I99" s="42"/>
      <c r="J99" s="42"/>
      <c r="K99" s="42" t="s">
        <v>59</v>
      </c>
      <c r="L99" s="43" t="n">
        <f aca="false">IFERROR(VLOOKUP(K99,Condensadoras!$A$2:$H$77,5,0),"")</f>
        <v>0</v>
      </c>
      <c r="M99" s="43" t="n">
        <f aca="false">IFERROR(VLOOKUP(K99,Condensadoras!$A$2:$H$77,6,0),"")</f>
        <v>0</v>
      </c>
      <c r="N99" s="37"/>
    </row>
    <row r="100" customFormat="false" ht="28.5" hidden="false" customHeight="true" outlineLevel="0" collapsed="false">
      <c r="B100" s="42" t="n">
        <v>30</v>
      </c>
      <c r="C100" s="35" t="n">
        <v>1</v>
      </c>
      <c r="D100" s="35" t="s">
        <v>145</v>
      </c>
      <c r="E100" s="42" t="s">
        <v>60</v>
      </c>
      <c r="F100" s="42" t="s">
        <v>65</v>
      </c>
      <c r="G100" s="42"/>
      <c r="H100" s="42"/>
      <c r="I100" s="42"/>
      <c r="J100" s="42"/>
      <c r="K100" s="42" t="s">
        <v>59</v>
      </c>
      <c r="L100" s="43" t="n">
        <f aca="false">IFERROR(VLOOKUP(K100,Condensadoras!$A$2:$H$77,5,0),"")</f>
        <v>0</v>
      </c>
      <c r="M100" s="43" t="n">
        <f aca="false">IFERROR(VLOOKUP(K100,Condensadoras!$A$2:$H$77,6,0),"")</f>
        <v>0</v>
      </c>
      <c r="N100" s="37"/>
    </row>
    <row r="101" customFormat="false" ht="30" hidden="false" customHeight="true" outlineLevel="0" collapsed="false">
      <c r="B101" s="42" t="n">
        <v>31</v>
      </c>
      <c r="C101" s="35" t="n">
        <v>1</v>
      </c>
      <c r="D101" s="35" t="s">
        <v>145</v>
      </c>
      <c r="E101" s="42" t="s">
        <v>60</v>
      </c>
      <c r="F101" s="42" t="s">
        <v>65</v>
      </c>
      <c r="G101" s="42"/>
      <c r="H101" s="42"/>
      <c r="I101" s="42"/>
      <c r="J101" s="42"/>
      <c r="K101" s="42" t="s">
        <v>59</v>
      </c>
      <c r="L101" s="43" t="n">
        <f aca="false">IFERROR(VLOOKUP(K101,Condensadoras!$A$2:$H$77,5,0),"")</f>
        <v>0</v>
      </c>
      <c r="M101" s="43" t="n">
        <f aca="false">IFERROR(VLOOKUP(K101,Condensadoras!$A$2:$H$77,6,0),"")</f>
        <v>0</v>
      </c>
      <c r="N101" s="37"/>
    </row>
    <row r="102" customFormat="false" ht="14.25" hidden="false" customHeight="false" outlineLevel="0" collapsed="false">
      <c r="B102" s="42" t="n">
        <v>32</v>
      </c>
      <c r="C102" s="35" t="n">
        <v>1</v>
      </c>
      <c r="D102" s="35" t="s">
        <v>145</v>
      </c>
      <c r="E102" s="42" t="s">
        <v>60</v>
      </c>
      <c r="F102" s="42" t="s">
        <v>65</v>
      </c>
      <c r="G102" s="42"/>
      <c r="H102" s="42"/>
      <c r="I102" s="42"/>
      <c r="J102" s="42"/>
      <c r="K102" s="42" t="s">
        <v>59</v>
      </c>
      <c r="L102" s="43" t="n">
        <f aca="false">IFERROR(VLOOKUP(K102,Condensadoras!$A$2:$H$77,5,0),"")</f>
        <v>0</v>
      </c>
      <c r="M102" s="43" t="n">
        <f aca="false">IFERROR(VLOOKUP(K102,Condensadoras!$A$2:$H$77,6,0),"")</f>
        <v>0</v>
      </c>
      <c r="N102" s="37" t="str">
        <f aca="false">IF(IFERROR(VLOOKUP(K102,Condensadoras!$A$2:$I$77,7,0),"")=0,"",VLOOKUP(K102,Condensadoras!$A$2:$I$77,7,0))</f>
        <v>Azotea - Detrás</v>
      </c>
    </row>
    <row r="103" customFormat="false" ht="14.25" hidden="false" customHeight="false" outlineLevel="0" collapsed="false">
      <c r="B103" s="42" t="n">
        <v>7</v>
      </c>
      <c r="C103" s="35" t="n">
        <v>1</v>
      </c>
      <c r="D103" s="35" t="s">
        <v>145</v>
      </c>
      <c r="E103" s="42" t="s">
        <v>60</v>
      </c>
      <c r="F103" s="42" t="s">
        <v>83</v>
      </c>
      <c r="G103" s="42"/>
      <c r="H103" s="42"/>
      <c r="I103" s="42"/>
      <c r="J103" s="42"/>
      <c r="K103" s="42" t="s">
        <v>73</v>
      </c>
      <c r="L103" s="43" t="n">
        <f aca="false">IFERROR(VLOOKUP(K103,Condensadoras!$A$2:$H$77,5,0),"")</f>
        <v>0</v>
      </c>
      <c r="M103" s="43" t="n">
        <f aca="false">IFERROR(VLOOKUP(K103,Condensadoras!$A$2:$H$77,6,0),"")</f>
        <v>0</v>
      </c>
      <c r="N103" s="37" t="str">
        <f aca="false">IF(IFERROR(VLOOKUP(K103,Condensadoras!$A$2:$I$77,7,0),"")=0,"",VLOOKUP(K103,Condensadoras!$A$2:$I$77,7,0))</f>
        <v>Azotea - Detrás</v>
      </c>
    </row>
    <row r="104" customFormat="false" ht="14.25" hidden="false" customHeight="false" outlineLevel="0" collapsed="false">
      <c r="B104" s="42" t="n">
        <v>8</v>
      </c>
      <c r="C104" s="35" t="n">
        <v>1</v>
      </c>
      <c r="D104" s="35" t="s">
        <v>145</v>
      </c>
      <c r="E104" s="42" t="s">
        <v>60</v>
      </c>
      <c r="F104" s="42" t="s">
        <v>84</v>
      </c>
      <c r="G104" s="42"/>
      <c r="H104" s="42"/>
      <c r="I104" s="42"/>
      <c r="J104" s="42"/>
      <c r="K104" s="42" t="s">
        <v>73</v>
      </c>
      <c r="L104" s="43" t="n">
        <f aca="false">IFERROR(VLOOKUP(K104,Condensadoras!$A$2:$H$77,5,0),"")</f>
        <v>0</v>
      </c>
      <c r="M104" s="43" t="n">
        <f aca="false">IFERROR(VLOOKUP(K104,Condensadoras!$A$2:$H$77,6,0),"")</f>
        <v>0</v>
      </c>
      <c r="N104" s="37" t="str">
        <f aca="false">IF(IFERROR(VLOOKUP(K104,Condensadoras!$A$2:$I$77,7,0),"")=0,"",VLOOKUP(K104,Condensadoras!$A$2:$I$77,7,0))</f>
        <v>Azotea - Detrás</v>
      </c>
    </row>
    <row r="105" customFormat="false" ht="14.25" hidden="false" customHeight="false" outlineLevel="0" collapsed="false">
      <c r="B105" s="42" t="s">
        <v>166</v>
      </c>
      <c r="C105" s="35" t="n">
        <v>1</v>
      </c>
      <c r="D105" s="35" t="s">
        <v>145</v>
      </c>
      <c r="E105" s="42" t="s">
        <v>60</v>
      </c>
      <c r="F105" s="42" t="s">
        <v>101</v>
      </c>
      <c r="G105" s="42"/>
      <c r="H105" s="42"/>
      <c r="I105" s="42"/>
      <c r="J105" s="42"/>
      <c r="K105" s="42" t="s">
        <v>100</v>
      </c>
      <c r="L105" s="43" t="str">
        <f aca="false">IFERROR(VLOOKUP(K105,Condensadoras!$A$2:$H$77,5,0),"")</f>
        <v>SUZ-SM71VA</v>
      </c>
      <c r="M105" s="43" t="n">
        <f aca="false">IFERROR(VLOOKUP(K105,Condensadoras!$A$2:$H$77,6,0),"")</f>
        <v>0</v>
      </c>
      <c r="N105" s="37" t="str">
        <f aca="false">IF(IFERROR(VLOOKUP(K105,Condensadoras!$A$2:$I$77,7,0),"")=0,"",VLOOKUP(K105,Condensadoras!$A$2:$I$77,7,0))</f>
        <v>Patio Olivera</v>
      </c>
    </row>
    <row r="106" customFormat="false" ht="23.85" hidden="false" customHeight="false" outlineLevel="0" collapsed="false">
      <c r="B106" s="35" t="s">
        <v>167</v>
      </c>
      <c r="C106" s="35" t="n">
        <v>1</v>
      </c>
      <c r="D106" s="35" t="s">
        <v>145</v>
      </c>
      <c r="E106" s="42" t="s">
        <v>60</v>
      </c>
      <c r="F106" s="42" t="s">
        <v>118</v>
      </c>
      <c r="G106" s="35"/>
      <c r="H106" s="35"/>
      <c r="I106" s="35"/>
      <c r="J106" s="35"/>
      <c r="K106" s="35" t="s">
        <v>113</v>
      </c>
      <c r="L106" s="36" t="str">
        <f aca="false">IFERROR(VLOOKUP(K106,Condensadoras!$A$2:$H$77,5,0),"")</f>
        <v>PUMY-P300YBM2</v>
      </c>
      <c r="M106" s="36" t="n">
        <f aca="false">IFERROR(VLOOKUP(K106,Condensadoras!$A$2:$H$77,6,0),"")</f>
        <v>0</v>
      </c>
      <c r="N106" s="37" t="str">
        <f aca="false">IF(IFERROR(VLOOKUP(K106,Condensadoras!$A$2:$I$77,7,0),"")=0,"",VLOOKUP(K106,Condensadoras!$A$2:$I$77,7,0))</f>
        <v>Azotea-Detrás</v>
      </c>
    </row>
    <row r="107" customFormat="false" ht="23.85" hidden="false" customHeight="false" outlineLevel="0" collapsed="false">
      <c r="B107" s="35" t="s">
        <v>168</v>
      </c>
      <c r="C107" s="35" t="n">
        <v>1</v>
      </c>
      <c r="D107" s="35" t="s">
        <v>145</v>
      </c>
      <c r="E107" s="42" t="s">
        <v>60</v>
      </c>
      <c r="F107" s="42" t="s">
        <v>119</v>
      </c>
      <c r="G107" s="35"/>
      <c r="H107" s="35"/>
      <c r="I107" s="35"/>
      <c r="J107" s="35"/>
      <c r="K107" s="35" t="s">
        <v>113</v>
      </c>
      <c r="L107" s="36" t="str">
        <f aca="false">IFERROR(VLOOKUP(K107,Condensadoras!$A$2:$H$77,5,0),"")</f>
        <v>PUMY-P300YBM2</v>
      </c>
      <c r="M107" s="36" t="n">
        <f aca="false">IFERROR(VLOOKUP(K107,Condensadoras!$A$2:$H$77,6,0),"")</f>
        <v>0</v>
      </c>
      <c r="N107" s="37" t="str">
        <f aca="false">IF(IFERROR(VLOOKUP(K107,Condensadoras!$A$2:$I$77,7,0),"")=0,"",VLOOKUP(K107,Condensadoras!$A$2:$I$77,7,0))</f>
        <v>Azotea-Detrás</v>
      </c>
    </row>
    <row r="108" customFormat="false" ht="14.25" hidden="false" customHeight="false" outlineLevel="0" collapsed="false">
      <c r="B108" s="35"/>
      <c r="C108" s="35" t="n">
        <v>1</v>
      </c>
      <c r="D108" s="35" t="s">
        <v>145</v>
      </c>
      <c r="E108" s="35"/>
      <c r="F108" s="35"/>
      <c r="G108" s="35"/>
      <c r="H108" s="35"/>
      <c r="I108" s="35"/>
      <c r="J108" s="35"/>
      <c r="K108" s="35"/>
      <c r="L108" s="36"/>
      <c r="M108" s="36"/>
      <c r="N108" s="36"/>
    </row>
    <row r="109" customFormat="false" ht="14.25" hidden="false" customHeight="false" outlineLevel="0" collapsed="false">
      <c r="B109" s="35"/>
      <c r="C109" s="35" t="n">
        <v>1</v>
      </c>
      <c r="D109" s="35" t="s">
        <v>145</v>
      </c>
      <c r="E109" s="35"/>
      <c r="F109" s="35"/>
      <c r="G109" s="35"/>
      <c r="H109" s="35"/>
      <c r="I109" s="35"/>
      <c r="J109" s="35"/>
      <c r="K109" s="35"/>
      <c r="L109" s="36" t="str">
        <f aca="false">IFERROR(VLOOKUP(K109,Condensadoras!$A$2:$H$77,4,0),"")</f>
        <v/>
      </c>
      <c r="M109" s="36" t="str">
        <f aca="false">IFERROR(VLOOKUP(K109,Condensadoras!$A$2:$H$77,5,0),"")</f>
        <v/>
      </c>
      <c r="N109" s="36" t="str">
        <f aca="false">IFERROR(VLOOKUP(L109,Condensadoras!$A$2:$H$77,5,0),"")</f>
        <v/>
      </c>
    </row>
    <row r="110" customFormat="false" ht="14.25" hidden="false" customHeight="false" outlineLevel="0" collapsed="false">
      <c r="B110" s="35"/>
      <c r="C110" s="35" t="n">
        <v>1</v>
      </c>
      <c r="D110" s="35" t="s">
        <v>145</v>
      </c>
      <c r="E110" s="35"/>
      <c r="F110" s="35"/>
      <c r="G110" s="35"/>
      <c r="H110" s="35"/>
      <c r="I110" s="35"/>
      <c r="J110" s="35"/>
      <c r="K110" s="35"/>
      <c r="L110" s="36" t="str">
        <f aca="false">IFERROR(VLOOKUP(K110,Condensadoras!$A$2:$H$77,4,0),"")</f>
        <v/>
      </c>
      <c r="M110" s="36" t="str">
        <f aca="false">IFERROR(VLOOKUP(K110,Condensadoras!$A$2:$H$77,5,0),"")</f>
        <v/>
      </c>
      <c r="N110" s="36" t="str">
        <f aca="false">IFERROR(VLOOKUP(L110,Condensadoras!$A$2:$H$77,5,0),"")</f>
        <v/>
      </c>
    </row>
    <row r="111" customFormat="false" ht="14.25" hidden="false" customHeight="false" outlineLevel="0" collapsed="false">
      <c r="B111" s="35"/>
      <c r="C111" s="35" t="n">
        <v>1</v>
      </c>
      <c r="D111" s="35" t="s">
        <v>145</v>
      </c>
      <c r="E111" s="35"/>
      <c r="F111" s="35"/>
      <c r="G111" s="35"/>
      <c r="H111" s="35"/>
      <c r="I111" s="35"/>
      <c r="J111" s="35"/>
      <c r="K111" s="35"/>
      <c r="L111" s="36" t="str">
        <f aca="false">IFERROR(VLOOKUP(K111,Condensadoras!$A$2:$H$77,4,0),"")</f>
        <v/>
      </c>
      <c r="M111" s="36" t="str">
        <f aca="false">IFERROR(VLOOKUP(K111,Condensadoras!$A$2:$H$77,5,0),"")</f>
        <v/>
      </c>
      <c r="N111" s="36" t="str">
        <f aca="false">IFERROR(VLOOKUP(L111,Condensadoras!$A$2:$H$77,5,0),"")</f>
        <v/>
      </c>
    </row>
    <row r="112" customFormat="false" ht="14.25" hidden="false" customHeight="false" outlineLevel="0" collapsed="false">
      <c r="B112" s="35"/>
      <c r="C112" s="35" t="n">
        <v>1</v>
      </c>
      <c r="D112" s="35" t="s">
        <v>145</v>
      </c>
      <c r="E112" s="35"/>
      <c r="F112" s="35"/>
      <c r="G112" s="35"/>
      <c r="H112" s="35"/>
      <c r="I112" s="35"/>
      <c r="J112" s="35"/>
      <c r="K112" s="35"/>
      <c r="L112" s="36" t="str">
        <f aca="false">IFERROR(VLOOKUP(K112,Condensadoras!$A$2:$H$77,4,0),"")</f>
        <v/>
      </c>
      <c r="M112" s="36" t="str">
        <f aca="false">IFERROR(VLOOKUP(K112,Condensadoras!$A$2:$H$77,5,0),"")</f>
        <v/>
      </c>
      <c r="N112" s="36" t="str">
        <f aca="false">IFERROR(VLOOKUP(L112,Condensadoras!$A$2:$H$77,5,0),"")</f>
        <v/>
      </c>
    </row>
    <row r="113" customFormat="false" ht="14.25" hidden="false" customHeight="false" outlineLevel="0" collapsed="false">
      <c r="B113" s="35"/>
      <c r="C113" s="35" t="n">
        <v>1</v>
      </c>
      <c r="D113" s="35" t="s">
        <v>145</v>
      </c>
      <c r="E113" s="35"/>
      <c r="F113" s="35"/>
      <c r="G113" s="35"/>
      <c r="H113" s="35"/>
      <c r="I113" s="35"/>
      <c r="J113" s="35"/>
      <c r="K113" s="35"/>
      <c r="L113" s="36" t="str">
        <f aca="false">IFERROR(VLOOKUP(K113,Condensadoras!$A$2:$H$77,4,0),"")</f>
        <v/>
      </c>
      <c r="M113" s="36" t="str">
        <f aca="false">IFERROR(VLOOKUP(K113,Condensadoras!$A$2:$H$77,5,0),"")</f>
        <v/>
      </c>
      <c r="N113" s="36" t="str">
        <f aca="false">IFERROR(VLOOKUP(L113,Condensadoras!$A$2:$H$77,5,0),"")</f>
        <v/>
      </c>
    </row>
    <row r="114" customFormat="false" ht="14.25" hidden="false" customHeight="false" outlineLevel="0" collapsed="false">
      <c r="B114" s="35"/>
      <c r="C114" s="35" t="n">
        <v>1</v>
      </c>
      <c r="D114" s="35" t="s">
        <v>145</v>
      </c>
      <c r="E114" s="35"/>
      <c r="F114" s="35"/>
      <c r="G114" s="35"/>
      <c r="H114" s="35"/>
      <c r="I114" s="35"/>
      <c r="J114" s="35"/>
      <c r="K114" s="35"/>
      <c r="L114" s="36" t="str">
        <f aca="false">IFERROR(VLOOKUP(K114,Condensadoras!$A$2:$H$77,4,0),"")</f>
        <v/>
      </c>
      <c r="M114" s="36" t="str">
        <f aca="false">IFERROR(VLOOKUP(K114,Condensadoras!$A$2:$H$77,5,0),"")</f>
        <v/>
      </c>
      <c r="N114" s="36" t="str">
        <f aca="false">IFERROR(VLOOKUP(L114,Condensadoras!$A$2:$H$77,5,0),"")</f>
        <v/>
      </c>
    </row>
    <row r="115" customFormat="false" ht="14.25" hidden="false" customHeight="false" outlineLevel="0" collapsed="false">
      <c r="B115" s="35"/>
      <c r="C115" s="35" t="n">
        <v>1</v>
      </c>
      <c r="D115" s="35" t="s">
        <v>145</v>
      </c>
      <c r="E115" s="35"/>
      <c r="F115" s="35"/>
      <c r="G115" s="35"/>
      <c r="H115" s="35"/>
      <c r="I115" s="35"/>
      <c r="J115" s="35"/>
      <c r="K115" s="35"/>
      <c r="L115" s="36" t="str">
        <f aca="false">IFERROR(VLOOKUP(K115,Condensadoras!$A$2:$H$77,4,0),"")</f>
        <v/>
      </c>
      <c r="M115" s="36" t="str">
        <f aca="false">IFERROR(VLOOKUP(K115,Condensadoras!$A$2:$H$77,5,0),"")</f>
        <v/>
      </c>
      <c r="N115" s="36" t="str">
        <f aca="false">IFERROR(VLOOKUP(L115,Condensadoras!$A$2:$H$77,5,0),"")</f>
        <v/>
      </c>
    </row>
    <row r="116" customFormat="false" ht="14.25" hidden="false" customHeight="false" outlineLevel="0" collapsed="false">
      <c r="B116" s="35"/>
      <c r="C116" s="35" t="n">
        <v>1</v>
      </c>
      <c r="D116" s="35" t="s">
        <v>145</v>
      </c>
      <c r="E116" s="35"/>
      <c r="F116" s="35"/>
      <c r="G116" s="35"/>
      <c r="H116" s="35"/>
      <c r="I116" s="35"/>
      <c r="J116" s="35"/>
      <c r="K116" s="35"/>
      <c r="L116" s="36" t="str">
        <f aca="false">IFERROR(VLOOKUP(K116,Condensadoras!$A$2:$H$77,4,0),"")</f>
        <v/>
      </c>
      <c r="M116" s="36" t="str">
        <f aca="false">IFERROR(VLOOKUP(K116,Condensadoras!$A$2:$H$77,5,0),"")</f>
        <v/>
      </c>
      <c r="N116" s="36" t="str">
        <f aca="false">IFERROR(VLOOKUP(L116,Condensadoras!$A$2:$H$77,5,0),"")</f>
        <v/>
      </c>
    </row>
    <row r="117" customFormat="false" ht="14.25" hidden="false" customHeight="false" outlineLevel="0" collapsed="false">
      <c r="B117" s="35"/>
      <c r="C117" s="35" t="n">
        <v>1</v>
      </c>
      <c r="D117" s="35" t="s">
        <v>145</v>
      </c>
      <c r="E117" s="35"/>
      <c r="F117" s="35"/>
      <c r="G117" s="35"/>
      <c r="H117" s="35"/>
      <c r="I117" s="35"/>
      <c r="J117" s="35"/>
      <c r="K117" s="35"/>
      <c r="L117" s="36" t="str">
        <f aca="false">IFERROR(VLOOKUP(K117,Condensadoras!$A$2:$H$77,4,0),"")</f>
        <v/>
      </c>
      <c r="M117" s="36" t="str">
        <f aca="false">IFERROR(VLOOKUP(K117,Condensadoras!$A$2:$H$77,5,0),"")</f>
        <v/>
      </c>
      <c r="N117" s="36" t="str">
        <f aca="false">IFERROR(VLOOKUP(L117,Condensadoras!$A$2:$H$77,5,0),"")</f>
        <v/>
      </c>
    </row>
    <row r="118" customFormat="false" ht="14.25" hidden="false" customHeight="false" outlineLevel="0" collapsed="false">
      <c r="B118" s="35"/>
      <c r="C118" s="35" t="n">
        <v>1</v>
      </c>
      <c r="D118" s="35" t="s">
        <v>145</v>
      </c>
      <c r="E118" s="35"/>
      <c r="F118" s="35"/>
      <c r="G118" s="35"/>
      <c r="H118" s="35"/>
      <c r="I118" s="35"/>
      <c r="J118" s="35"/>
      <c r="K118" s="35"/>
      <c r="L118" s="36" t="str">
        <f aca="false">IFERROR(VLOOKUP(K118,Condensadoras!$A$2:$H$77,4,0),"")</f>
        <v/>
      </c>
      <c r="M118" s="36" t="str">
        <f aca="false">IFERROR(VLOOKUP(K118,Condensadoras!$A$2:$H$77,5,0),"")</f>
        <v/>
      </c>
      <c r="N118" s="36" t="str">
        <f aca="false">IFERROR(VLOOKUP(L118,Condensadoras!$A$2:$H$77,5,0),"")</f>
        <v/>
      </c>
    </row>
    <row r="119" customFormat="false" ht="14.25" hidden="false" customHeight="false" outlineLevel="0" collapsed="false">
      <c r="B119" s="35"/>
      <c r="C119" s="35" t="n">
        <v>1</v>
      </c>
      <c r="D119" s="35" t="s">
        <v>145</v>
      </c>
      <c r="E119" s="35"/>
      <c r="F119" s="35"/>
      <c r="G119" s="35"/>
      <c r="H119" s="35"/>
      <c r="I119" s="35"/>
      <c r="J119" s="35"/>
      <c r="K119" s="35"/>
      <c r="L119" s="36" t="str">
        <f aca="false">IFERROR(VLOOKUP(K119,Condensadoras!$A$2:$H$77,4,0),"")</f>
        <v/>
      </c>
      <c r="M119" s="36" t="str">
        <f aca="false">IFERROR(VLOOKUP(K119,Condensadoras!$A$2:$H$77,5,0),"")</f>
        <v/>
      </c>
      <c r="N119" s="36" t="str">
        <f aca="false">IFERROR(VLOOKUP(L119,Condensadoras!$A$2:$H$77,5,0),"")</f>
        <v/>
      </c>
    </row>
    <row r="120" customFormat="false" ht="14.25" hidden="false" customHeight="false" outlineLevel="0" collapsed="false">
      <c r="B120" s="35"/>
      <c r="C120" s="35" t="n">
        <v>1</v>
      </c>
      <c r="D120" s="35" t="s">
        <v>145</v>
      </c>
      <c r="E120" s="35"/>
      <c r="F120" s="35"/>
      <c r="G120" s="35"/>
      <c r="H120" s="35"/>
      <c r="I120" s="35"/>
      <c r="J120" s="35"/>
      <c r="K120" s="35"/>
      <c r="L120" s="36" t="str">
        <f aca="false">IFERROR(VLOOKUP(K120,Condensadoras!$A$2:$H$77,4,0),"")</f>
        <v/>
      </c>
      <c r="M120" s="36" t="str">
        <f aca="false">IFERROR(VLOOKUP(K120,Condensadoras!$A$2:$H$77,5,0),"")</f>
        <v/>
      </c>
      <c r="N120" s="36" t="str">
        <f aca="false">IFERROR(VLOOKUP(L120,Condensadoras!$A$2:$H$77,5,0),"")</f>
        <v/>
      </c>
    </row>
    <row r="121" customFormat="false" ht="14.25" hidden="false" customHeight="false" outlineLevel="0" collapsed="false">
      <c r="B121" s="35"/>
      <c r="C121" s="35" t="n">
        <v>1</v>
      </c>
      <c r="D121" s="35" t="s">
        <v>145</v>
      </c>
      <c r="E121" s="35"/>
      <c r="F121" s="35"/>
      <c r="G121" s="35"/>
      <c r="H121" s="35"/>
      <c r="I121" s="35"/>
      <c r="J121" s="35"/>
      <c r="K121" s="35"/>
      <c r="L121" s="36" t="str">
        <f aca="false">IFERROR(VLOOKUP(K121,Condensadoras!$A$2:$H$77,4,0),"")</f>
        <v/>
      </c>
      <c r="M121" s="36" t="str">
        <f aca="false">IFERROR(VLOOKUP(K121,Condensadoras!$A$2:$H$77,5,0),"")</f>
        <v/>
      </c>
      <c r="N121" s="36" t="str">
        <f aca="false">IFERROR(VLOOKUP(L121,Condensadoras!$A$2:$H$77,5,0),"")</f>
        <v/>
      </c>
    </row>
    <row r="122" customFormat="false" ht="14.25" hidden="false" customHeight="false" outlineLevel="0" collapsed="false">
      <c r="B122" s="35"/>
      <c r="C122" s="35" t="n">
        <v>1</v>
      </c>
      <c r="D122" s="35" t="s">
        <v>145</v>
      </c>
      <c r="E122" s="35"/>
      <c r="F122" s="35"/>
      <c r="G122" s="35"/>
      <c r="H122" s="35"/>
      <c r="I122" s="35"/>
      <c r="J122" s="35"/>
      <c r="K122" s="35"/>
      <c r="L122" s="36" t="str">
        <f aca="false">IFERROR(VLOOKUP(K122,Condensadoras!$A$2:$H$77,4,0),"")</f>
        <v/>
      </c>
      <c r="M122" s="36" t="str">
        <f aca="false">IFERROR(VLOOKUP(K122,Condensadoras!$A$2:$H$77,5,0),"")</f>
        <v/>
      </c>
      <c r="N122" s="36" t="str">
        <f aca="false">IFERROR(VLOOKUP(L122,Condensadoras!$A$2:$H$77,5,0),"")</f>
        <v/>
      </c>
    </row>
    <row r="123" customFormat="false" ht="14.25" hidden="false" customHeight="false" outlineLevel="0" collapsed="false">
      <c r="B123" s="35"/>
      <c r="C123" s="35" t="n">
        <v>1</v>
      </c>
      <c r="D123" s="35" t="s">
        <v>145</v>
      </c>
      <c r="E123" s="35"/>
      <c r="F123" s="35"/>
      <c r="G123" s="35"/>
      <c r="H123" s="35"/>
      <c r="I123" s="35"/>
      <c r="J123" s="35"/>
      <c r="K123" s="35"/>
      <c r="L123" s="36" t="str">
        <f aca="false">IFERROR(VLOOKUP(K123,Condensadoras!$A$2:$H$77,4,0),"")</f>
        <v/>
      </c>
      <c r="M123" s="36" t="str">
        <f aca="false">IFERROR(VLOOKUP(K123,Condensadoras!$A$2:$H$77,5,0),"")</f>
        <v/>
      </c>
      <c r="N123" s="36" t="str">
        <f aca="false">IFERROR(VLOOKUP(L123,Condensadoras!$A$2:$H$77,5,0),"")</f>
        <v/>
      </c>
    </row>
    <row r="124" customFormat="false" ht="14.25" hidden="false" customHeight="false" outlineLevel="0" collapsed="false">
      <c r="B124" s="35"/>
      <c r="C124" s="35" t="n">
        <v>1</v>
      </c>
      <c r="D124" s="35" t="s">
        <v>145</v>
      </c>
      <c r="E124" s="35"/>
      <c r="F124" s="35"/>
      <c r="G124" s="35"/>
      <c r="H124" s="35"/>
      <c r="I124" s="35"/>
      <c r="J124" s="35"/>
      <c r="K124" s="35"/>
      <c r="L124" s="36" t="str">
        <f aca="false">IFERROR(VLOOKUP(K124,Condensadoras!$A$2:$H$77,4,0),"")</f>
        <v/>
      </c>
      <c r="M124" s="36" t="str">
        <f aca="false">IFERROR(VLOOKUP(K124,Condensadoras!$A$2:$H$77,5,0),"")</f>
        <v/>
      </c>
      <c r="N124" s="36" t="str">
        <f aca="false">IFERROR(VLOOKUP(L124,Condensadoras!$A$2:$H$77,5,0),"")</f>
        <v/>
      </c>
    </row>
    <row r="125" customFormat="false" ht="14.25" hidden="false" customHeight="false" outlineLevel="0" collapsed="false">
      <c r="B125" s="35"/>
      <c r="C125" s="35" t="n">
        <v>1</v>
      </c>
      <c r="D125" s="35" t="s">
        <v>145</v>
      </c>
      <c r="E125" s="35"/>
      <c r="F125" s="35"/>
      <c r="G125" s="35"/>
      <c r="H125" s="35"/>
      <c r="I125" s="35"/>
      <c r="J125" s="35"/>
      <c r="K125" s="35"/>
      <c r="L125" s="36" t="str">
        <f aca="false">IFERROR(VLOOKUP(K125,Condensadoras!$A$2:$H$77,4,0),"")</f>
        <v/>
      </c>
      <c r="M125" s="36" t="str">
        <f aca="false">IFERROR(VLOOKUP(K125,Condensadoras!$A$2:$H$77,5,0),"")</f>
        <v/>
      </c>
      <c r="N125" s="36" t="str">
        <f aca="false">IFERROR(VLOOKUP(L125,Condensadoras!$A$2:$H$77,5,0),"")</f>
        <v/>
      </c>
    </row>
    <row r="127" customFormat="false" ht="14.25" hidden="false" customHeight="false" outlineLevel="0" collapsed="false">
      <c r="A127" s="44"/>
      <c r="B127" s="45" t="s">
        <v>169</v>
      </c>
      <c r="C127" s="45"/>
      <c r="D127" s="45"/>
      <c r="E127" s="44"/>
    </row>
    <row r="128" customFormat="false" ht="14.25" hidden="false" customHeight="false" outlineLevel="0" collapsed="false">
      <c r="A128" s="44"/>
      <c r="B128" s="45" t="s">
        <v>170</v>
      </c>
      <c r="C128" s="45"/>
      <c r="D128" s="45"/>
      <c r="E128" s="44"/>
    </row>
    <row r="129" customFormat="false" ht="14.25" hidden="false" customHeight="false" outlineLevel="0" collapsed="false">
      <c r="A129" s="44"/>
      <c r="B129" s="45" t="s">
        <v>171</v>
      </c>
      <c r="C129" s="45"/>
      <c r="D129" s="45"/>
      <c r="E129" s="44"/>
    </row>
  </sheetData>
  <autoFilter ref="B2:M125">
    <sortState ref="B3:M125">
      <sortCondition ref="B3:B125" customList=""/>
    </sortState>
  </autoFilter>
  <mergeCells count="1">
    <mergeCell ref="K1:M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7.8"/>
    <col collapsed="false" customWidth="true" hidden="false" outlineLevel="0" max="2" min="2" style="1" width="20.45"/>
    <col collapsed="false" customWidth="true" hidden="false" outlineLevel="0" max="4" min="3" style="1" width="14.73"/>
    <col collapsed="false" customWidth="true" hidden="false" outlineLevel="0" max="6" min="5" style="1" width="28.27"/>
    <col collapsed="false" customWidth="true" hidden="false" outlineLevel="0" max="7" min="7" style="30" width="28.94"/>
    <col collapsed="false" customWidth="true" hidden="false" outlineLevel="0" max="8" min="8" style="30" width="20.54"/>
    <col collapsed="false" customWidth="true" hidden="false" outlineLevel="0" max="9" min="9" style="30" width="23.65"/>
    <col collapsed="false" customWidth="true" hidden="false" outlineLevel="0" max="10" min="10" style="1" width="23.82"/>
    <col collapsed="false" customWidth="true" hidden="false" outlineLevel="0" max="12" min="12" style="1" width="14.88"/>
    <col collapsed="false" customWidth="true" hidden="false" outlineLevel="0" max="40" min="14" style="1" width="22.45"/>
    <col collapsed="false" customWidth="true" hidden="false" outlineLevel="0" max="41" min="41" style="1" width="12.54"/>
    <col collapsed="false" customWidth="true" hidden="false" outlineLevel="0" max="16384" min="16384" style="1" width="11.53"/>
  </cols>
  <sheetData>
    <row r="1" customFormat="false" ht="14.25" hidden="false" customHeight="false" outlineLevel="0" collapsed="false">
      <c r="A1" s="46" t="s">
        <v>2</v>
      </c>
      <c r="B1" s="46" t="s">
        <v>134</v>
      </c>
      <c r="C1" s="46" t="s">
        <v>135</v>
      </c>
      <c r="D1" s="47" t="s">
        <v>172</v>
      </c>
      <c r="E1" s="47" t="s">
        <v>173</v>
      </c>
      <c r="F1" s="47" t="s">
        <v>174</v>
      </c>
      <c r="G1" s="47" t="s">
        <v>140</v>
      </c>
      <c r="H1" s="47" t="s">
        <v>1</v>
      </c>
      <c r="I1" s="47" t="s">
        <v>175</v>
      </c>
      <c r="J1" s="48" t="s">
        <v>142</v>
      </c>
      <c r="K1" s="48" t="s">
        <v>143</v>
      </c>
      <c r="L1" s="48" t="s">
        <v>176</v>
      </c>
    </row>
    <row r="2" customFormat="false" ht="14.25" hidden="false" customHeight="false" outlineLevel="0" collapsed="false">
      <c r="A2" s="49" t="s">
        <v>7</v>
      </c>
      <c r="B2" s="49"/>
      <c r="C2" s="49" t="s">
        <v>177</v>
      </c>
      <c r="D2" s="50" t="s">
        <v>178</v>
      </c>
      <c r="E2" s="50"/>
      <c r="F2" s="51"/>
      <c r="G2" s="49" t="s">
        <v>179</v>
      </c>
      <c r="H2" s="49" t="s">
        <v>180</v>
      </c>
      <c r="I2" s="52" t="n">
        <v>39083</v>
      </c>
      <c r="J2" s="38" t="s">
        <v>181</v>
      </c>
    </row>
    <row r="3" customFormat="false" ht="14.25" hidden="false" customHeight="false" outlineLevel="0" collapsed="false">
      <c r="A3" s="49" t="s">
        <v>20</v>
      </c>
      <c r="B3" s="49"/>
      <c r="C3" s="49" t="s">
        <v>177</v>
      </c>
      <c r="D3" s="50" t="s">
        <v>178</v>
      </c>
      <c r="E3" s="49" t="s">
        <v>182</v>
      </c>
      <c r="F3" s="53"/>
      <c r="G3" s="49" t="s">
        <v>183</v>
      </c>
      <c r="H3" s="50" t="s">
        <v>180</v>
      </c>
      <c r="I3" s="52" t="n">
        <v>45825</v>
      </c>
    </row>
    <row r="4" customFormat="false" ht="14.25" hidden="false" customHeight="false" outlineLevel="0" collapsed="false">
      <c r="A4" s="49" t="s">
        <v>30</v>
      </c>
      <c r="B4" s="49"/>
      <c r="C4" s="49" t="s">
        <v>177</v>
      </c>
      <c r="D4" s="50" t="s">
        <v>178</v>
      </c>
      <c r="E4" s="50"/>
      <c r="F4" s="51"/>
      <c r="G4" s="49" t="s">
        <v>179</v>
      </c>
      <c r="H4" s="49" t="s">
        <v>180</v>
      </c>
      <c r="I4" s="52" t="n">
        <v>40909</v>
      </c>
      <c r="J4" s="38" t="s">
        <v>181</v>
      </c>
    </row>
    <row r="5" customFormat="false" ht="14.25" hidden="false" customHeight="false" outlineLevel="0" collapsed="false">
      <c r="A5" s="49" t="s">
        <v>41</v>
      </c>
      <c r="B5" s="49"/>
      <c r="C5" s="49" t="s">
        <v>177</v>
      </c>
      <c r="D5" s="50" t="s">
        <v>178</v>
      </c>
      <c r="E5" s="50"/>
      <c r="F5" s="51"/>
      <c r="G5" s="49" t="s">
        <v>179</v>
      </c>
      <c r="H5" s="49" t="s">
        <v>180</v>
      </c>
      <c r="I5" s="52" t="n">
        <v>40909</v>
      </c>
      <c r="J5" s="38" t="s">
        <v>181</v>
      </c>
    </row>
    <row r="6" customFormat="false" ht="14.25" hidden="false" customHeight="false" outlineLevel="0" collapsed="false">
      <c r="A6" s="49" t="s">
        <v>55</v>
      </c>
      <c r="B6" s="49"/>
      <c r="C6" s="49" t="s">
        <v>177</v>
      </c>
      <c r="D6" s="50" t="s">
        <v>178</v>
      </c>
      <c r="E6" s="50" t="s">
        <v>184</v>
      </c>
      <c r="F6" s="51"/>
      <c r="G6" s="49" t="s">
        <v>179</v>
      </c>
      <c r="H6" s="49" t="s">
        <v>185</v>
      </c>
      <c r="I6" s="52" t="n">
        <v>39083</v>
      </c>
      <c r="J6" s="38" t="s">
        <v>181</v>
      </c>
    </row>
    <row r="7" customFormat="false" ht="14.25" hidden="false" customHeight="false" outlineLevel="0" collapsed="false">
      <c r="A7" s="49" t="s">
        <v>57</v>
      </c>
      <c r="B7" s="49"/>
      <c r="C7" s="49" t="s">
        <v>177</v>
      </c>
      <c r="D7" s="50" t="s">
        <v>178</v>
      </c>
      <c r="E7" s="50" t="s">
        <v>184</v>
      </c>
      <c r="F7" s="51"/>
      <c r="G7" s="49" t="s">
        <v>179</v>
      </c>
      <c r="H7" s="49" t="s">
        <v>185</v>
      </c>
      <c r="I7" s="52" t="n">
        <v>39083</v>
      </c>
      <c r="J7" s="38" t="s">
        <v>181</v>
      </c>
    </row>
    <row r="8" customFormat="false" ht="14.25" hidden="false" customHeight="false" outlineLevel="0" collapsed="false">
      <c r="A8" s="49" t="s">
        <v>186</v>
      </c>
      <c r="B8" s="49"/>
      <c r="C8" s="49" t="s">
        <v>177</v>
      </c>
      <c r="D8" s="50" t="s">
        <v>178</v>
      </c>
      <c r="E8" s="50"/>
      <c r="F8" s="51"/>
      <c r="G8" s="49" t="s">
        <v>179</v>
      </c>
      <c r="H8" s="49" t="s">
        <v>187</v>
      </c>
      <c r="I8" s="52" t="s">
        <v>188</v>
      </c>
    </row>
    <row r="9" customFormat="false" ht="14.25" hidden="false" customHeight="false" outlineLevel="0" collapsed="false">
      <c r="A9" s="49" t="s">
        <v>59</v>
      </c>
      <c r="B9" s="49"/>
      <c r="C9" s="49" t="s">
        <v>177</v>
      </c>
      <c r="D9" s="50" t="s">
        <v>178</v>
      </c>
      <c r="E9" s="50"/>
      <c r="F9" s="51"/>
      <c r="G9" s="49" t="s">
        <v>179</v>
      </c>
      <c r="H9" s="49" t="s">
        <v>187</v>
      </c>
      <c r="I9" s="52" t="n">
        <v>40909</v>
      </c>
      <c r="J9" s="38" t="s">
        <v>181</v>
      </c>
    </row>
    <row r="10" customFormat="false" ht="14.25" hidden="false" customHeight="false" outlineLevel="0" collapsed="false">
      <c r="A10" s="49" t="s">
        <v>67</v>
      </c>
      <c r="B10" s="49"/>
      <c r="C10" s="49" t="s">
        <v>177</v>
      </c>
      <c r="D10" s="50" t="s">
        <v>178</v>
      </c>
      <c r="E10" s="50"/>
      <c r="F10" s="51"/>
      <c r="G10" s="49" t="s">
        <v>179</v>
      </c>
      <c r="H10" s="49" t="s">
        <v>180</v>
      </c>
      <c r="I10" s="52" t="n">
        <v>40909</v>
      </c>
      <c r="J10" s="38" t="s">
        <v>181</v>
      </c>
    </row>
    <row r="11" customFormat="false" ht="14.25" hidden="false" customHeight="false" outlineLevel="0" collapsed="false">
      <c r="A11" s="49" t="s">
        <v>73</v>
      </c>
      <c r="B11" s="49"/>
      <c r="C11" s="49" t="s">
        <v>177</v>
      </c>
      <c r="D11" s="50" t="s">
        <v>178</v>
      </c>
      <c r="E11" s="50"/>
      <c r="F11" s="51"/>
      <c r="G11" s="49" t="s">
        <v>179</v>
      </c>
      <c r="H11" s="49" t="s">
        <v>180</v>
      </c>
      <c r="I11" s="52" t="n">
        <v>40909</v>
      </c>
      <c r="J11" s="38" t="s">
        <v>181</v>
      </c>
    </row>
    <row r="12" customFormat="false" ht="14.25" hidden="false" customHeight="false" outlineLevel="0" collapsed="false">
      <c r="A12" s="49" t="s">
        <v>85</v>
      </c>
      <c r="B12" s="49"/>
      <c r="C12" s="49" t="s">
        <v>177</v>
      </c>
      <c r="D12" s="50" t="s">
        <v>178</v>
      </c>
      <c r="E12" s="50" t="s">
        <v>189</v>
      </c>
      <c r="F12" s="51"/>
      <c r="G12" s="49" t="s">
        <v>179</v>
      </c>
      <c r="H12" s="49" t="s">
        <v>180</v>
      </c>
      <c r="I12" s="52" t="n">
        <v>40909</v>
      </c>
      <c r="J12" s="38" t="s">
        <v>181</v>
      </c>
    </row>
    <row r="13" customFormat="false" ht="14.25" hidden="false" customHeight="false" outlineLevel="0" collapsed="false">
      <c r="A13" s="49" t="s">
        <v>88</v>
      </c>
      <c r="B13" s="49"/>
      <c r="C13" s="49" t="s">
        <v>177</v>
      </c>
      <c r="D13" s="50" t="s">
        <v>178</v>
      </c>
      <c r="E13" s="50" t="s">
        <v>189</v>
      </c>
      <c r="F13" s="51"/>
      <c r="G13" s="49" t="s">
        <v>190</v>
      </c>
      <c r="H13" s="49" t="s">
        <v>180</v>
      </c>
      <c r="I13" s="52" t="n">
        <v>40909</v>
      </c>
      <c r="J13" s="38" t="s">
        <v>181</v>
      </c>
    </row>
    <row r="14" customFormat="false" ht="14.25" hidden="false" customHeight="false" outlineLevel="0" collapsed="false">
      <c r="A14" s="49" t="s">
        <v>191</v>
      </c>
      <c r="B14" s="49"/>
      <c r="C14" s="49" t="s">
        <v>177</v>
      </c>
      <c r="D14" s="50" t="s">
        <v>178</v>
      </c>
      <c r="E14" s="50"/>
      <c r="F14" s="51"/>
      <c r="G14" s="49" t="s">
        <v>192</v>
      </c>
      <c r="H14" s="50" t="s">
        <v>193</v>
      </c>
      <c r="I14" s="52" t="s">
        <v>188</v>
      </c>
    </row>
    <row r="15" customFormat="false" ht="14.25" hidden="false" customHeight="false" outlineLevel="0" collapsed="false">
      <c r="A15" s="49" t="s">
        <v>194</v>
      </c>
      <c r="B15" s="49"/>
      <c r="C15" s="49" t="s">
        <v>177</v>
      </c>
      <c r="D15" s="50" t="s">
        <v>178</v>
      </c>
      <c r="E15" s="50"/>
      <c r="F15" s="51"/>
      <c r="G15" s="49" t="s">
        <v>190</v>
      </c>
      <c r="H15" s="50" t="s">
        <v>193</v>
      </c>
      <c r="I15" s="52" t="s">
        <v>188</v>
      </c>
    </row>
    <row r="16" customFormat="false" ht="14.25" hidden="true" customHeight="false" outlineLevel="0" collapsed="false">
      <c r="A16" s="49" t="s">
        <v>90</v>
      </c>
      <c r="B16" s="49"/>
      <c r="C16" s="49" t="s">
        <v>195</v>
      </c>
      <c r="D16" s="50" t="s">
        <v>178</v>
      </c>
      <c r="E16" s="50" t="s">
        <v>196</v>
      </c>
      <c r="F16" s="51"/>
      <c r="G16" s="49" t="s">
        <v>190</v>
      </c>
      <c r="H16" s="49" t="s">
        <v>180</v>
      </c>
      <c r="I16" s="52" t="n">
        <v>38718</v>
      </c>
      <c r="J16" s="38" t="s">
        <v>181</v>
      </c>
    </row>
    <row r="17" customFormat="false" ht="14.25" hidden="false" customHeight="false" outlineLevel="0" collapsed="false">
      <c r="A17" s="49" t="s">
        <v>92</v>
      </c>
      <c r="B17" s="49"/>
      <c r="C17" s="49" t="s">
        <v>177</v>
      </c>
      <c r="D17" s="50" t="s">
        <v>178</v>
      </c>
      <c r="E17" s="50" t="s">
        <v>196</v>
      </c>
      <c r="F17" s="51"/>
      <c r="G17" s="49" t="s">
        <v>190</v>
      </c>
      <c r="H17" s="49" t="s">
        <v>180</v>
      </c>
      <c r="I17" s="52" t="n">
        <v>38718</v>
      </c>
      <c r="J17" s="38" t="s">
        <v>181</v>
      </c>
    </row>
    <row r="18" customFormat="false" ht="14.25" hidden="false" customHeight="false" outlineLevel="0" collapsed="false">
      <c r="A18" s="49" t="s">
        <v>94</v>
      </c>
      <c r="B18" s="49"/>
      <c r="C18" s="49" t="s">
        <v>177</v>
      </c>
      <c r="D18" s="50" t="s">
        <v>178</v>
      </c>
      <c r="E18" s="50" t="s">
        <v>196</v>
      </c>
      <c r="F18" s="51"/>
      <c r="G18" s="49" t="s">
        <v>190</v>
      </c>
      <c r="H18" s="49" t="s">
        <v>180</v>
      </c>
      <c r="I18" s="52" t="n">
        <v>38718</v>
      </c>
      <c r="J18" s="38" t="s">
        <v>181</v>
      </c>
    </row>
    <row r="19" customFormat="false" ht="14.25" hidden="false" customHeight="false" outlineLevel="0" collapsed="false">
      <c r="A19" s="49" t="s">
        <v>96</v>
      </c>
      <c r="B19" s="49"/>
      <c r="C19" s="49" t="s">
        <v>177</v>
      </c>
      <c r="D19" s="50" t="s">
        <v>178</v>
      </c>
      <c r="E19" s="50" t="s">
        <v>197</v>
      </c>
      <c r="F19" s="51"/>
      <c r="G19" s="49" t="s">
        <v>190</v>
      </c>
      <c r="H19" s="49" t="s">
        <v>185</v>
      </c>
      <c r="I19" s="52" t="n">
        <v>43831</v>
      </c>
      <c r="J19" s="38" t="s">
        <v>181</v>
      </c>
    </row>
    <row r="20" customFormat="false" ht="14.25" hidden="false" customHeight="false" outlineLevel="0" collapsed="false">
      <c r="A20" s="49" t="s">
        <v>98</v>
      </c>
      <c r="B20" s="49"/>
      <c r="C20" s="49" t="s">
        <v>177</v>
      </c>
      <c r="D20" s="50" t="s">
        <v>178</v>
      </c>
      <c r="E20" s="50" t="s">
        <v>198</v>
      </c>
      <c r="F20" s="51"/>
      <c r="G20" s="49" t="s">
        <v>190</v>
      </c>
      <c r="H20" s="49" t="s">
        <v>185</v>
      </c>
      <c r="I20" s="52" t="n">
        <v>42005</v>
      </c>
      <c r="J20" s="38" t="s">
        <v>181</v>
      </c>
    </row>
    <row r="21" customFormat="false" ht="14.25" hidden="false" customHeight="false" outlineLevel="0" collapsed="false">
      <c r="A21" s="49" t="s">
        <v>199</v>
      </c>
      <c r="B21" s="49"/>
      <c r="C21" s="49" t="s">
        <v>177</v>
      </c>
      <c r="D21" s="50" t="s">
        <v>178</v>
      </c>
      <c r="E21" s="50"/>
      <c r="F21" s="51"/>
      <c r="G21" s="49" t="s">
        <v>192</v>
      </c>
      <c r="H21" s="50" t="s">
        <v>193</v>
      </c>
      <c r="I21" s="52" t="s">
        <v>188</v>
      </c>
      <c r="J21" s="38" t="s">
        <v>200</v>
      </c>
    </row>
    <row r="22" customFormat="false" ht="14.25" hidden="false" customHeight="false" outlineLevel="0" collapsed="false">
      <c r="A22" s="49" t="s">
        <v>201</v>
      </c>
      <c r="B22" s="49"/>
      <c r="C22" s="49" t="s">
        <v>177</v>
      </c>
      <c r="D22" s="50" t="s">
        <v>178</v>
      </c>
      <c r="E22" s="50"/>
      <c r="F22" s="51"/>
      <c r="G22" s="49" t="s">
        <v>192</v>
      </c>
      <c r="H22" s="50" t="s">
        <v>193</v>
      </c>
      <c r="I22" s="52" t="s">
        <v>188</v>
      </c>
      <c r="J22" s="38" t="s">
        <v>202</v>
      </c>
    </row>
    <row r="23" customFormat="false" ht="14.25" hidden="false" customHeight="false" outlineLevel="0" collapsed="false">
      <c r="A23" s="49" t="s">
        <v>100</v>
      </c>
      <c r="B23" s="49"/>
      <c r="C23" s="49" t="s">
        <v>177</v>
      </c>
      <c r="D23" s="50" t="s">
        <v>178</v>
      </c>
      <c r="E23" s="50" t="s">
        <v>184</v>
      </c>
      <c r="F23" s="51"/>
      <c r="G23" s="49" t="s">
        <v>203</v>
      </c>
      <c r="H23" s="50" t="s">
        <v>180</v>
      </c>
      <c r="I23" s="52" t="n">
        <v>45474</v>
      </c>
    </row>
    <row r="24" customFormat="false" ht="14.25" hidden="false" customHeight="false" outlineLevel="0" collapsed="false">
      <c r="A24" s="49" t="s">
        <v>102</v>
      </c>
      <c r="B24" s="49"/>
      <c r="C24" s="49" t="s">
        <v>177</v>
      </c>
      <c r="D24" s="50" t="s">
        <v>178</v>
      </c>
      <c r="E24" s="50" t="s">
        <v>198</v>
      </c>
      <c r="F24" s="51"/>
      <c r="G24" s="49" t="s">
        <v>190</v>
      </c>
      <c r="H24" s="49" t="s">
        <v>185</v>
      </c>
      <c r="I24" s="52" t="n">
        <v>42005</v>
      </c>
      <c r="J24" s="38" t="s">
        <v>181</v>
      </c>
    </row>
    <row r="25" customFormat="false" ht="14.25" hidden="false" customHeight="false" outlineLevel="0" collapsed="false">
      <c r="A25" s="49" t="s">
        <v>204</v>
      </c>
      <c r="B25" s="49"/>
      <c r="C25" s="49" t="s">
        <v>177</v>
      </c>
      <c r="D25" s="50" t="s">
        <v>178</v>
      </c>
      <c r="E25" s="50"/>
      <c r="F25" s="51"/>
      <c r="G25" s="49" t="s">
        <v>192</v>
      </c>
      <c r="H25" s="50" t="s">
        <v>193</v>
      </c>
      <c r="I25" s="52" t="s">
        <v>188</v>
      </c>
    </row>
    <row r="26" customFormat="false" ht="14.25" hidden="true" customHeight="false" outlineLevel="0" collapsed="false">
      <c r="A26" s="49" t="s">
        <v>104</v>
      </c>
      <c r="B26" s="49"/>
      <c r="C26" s="49" t="s">
        <v>195</v>
      </c>
      <c r="D26" s="50" t="s">
        <v>178</v>
      </c>
      <c r="E26" s="50" t="s">
        <v>205</v>
      </c>
      <c r="F26" s="51"/>
      <c r="G26" s="49" t="s">
        <v>190</v>
      </c>
      <c r="H26" s="49" t="s">
        <v>180</v>
      </c>
      <c r="I26" s="52" t="n">
        <v>42005</v>
      </c>
      <c r="J26" s="38" t="s">
        <v>181</v>
      </c>
    </row>
    <row r="27" customFormat="false" ht="14.25" hidden="false" customHeight="false" outlineLevel="0" collapsed="false">
      <c r="A27" s="49" t="s">
        <v>106</v>
      </c>
      <c r="B27" s="49"/>
      <c r="C27" s="49" t="s">
        <v>177</v>
      </c>
      <c r="D27" s="50" t="s">
        <v>178</v>
      </c>
      <c r="E27" s="50" t="s">
        <v>205</v>
      </c>
      <c r="F27" s="51"/>
      <c r="G27" s="49" t="s">
        <v>190</v>
      </c>
      <c r="H27" s="49" t="s">
        <v>180</v>
      </c>
      <c r="I27" s="52" t="n">
        <v>42005</v>
      </c>
      <c r="J27" s="38" t="s">
        <v>181</v>
      </c>
    </row>
    <row r="28" customFormat="false" ht="14.25" hidden="false" customHeight="false" outlineLevel="0" collapsed="false">
      <c r="A28" s="49" t="s">
        <v>107</v>
      </c>
      <c r="B28" s="49"/>
      <c r="C28" s="49" t="s">
        <v>177</v>
      </c>
      <c r="D28" s="50" t="s">
        <v>178</v>
      </c>
      <c r="E28" s="50" t="s">
        <v>189</v>
      </c>
      <c r="F28" s="51"/>
      <c r="G28" s="49" t="s">
        <v>190</v>
      </c>
      <c r="H28" s="49" t="s">
        <v>180</v>
      </c>
      <c r="I28" s="52" t="n">
        <v>42005</v>
      </c>
      <c r="J28" s="38" t="s">
        <v>181</v>
      </c>
    </row>
    <row r="29" customFormat="false" ht="14.25" hidden="false" customHeight="false" outlineLevel="0" collapsed="false">
      <c r="A29" s="49" t="s">
        <v>109</v>
      </c>
      <c r="B29" s="49"/>
      <c r="C29" s="49" t="s">
        <v>177</v>
      </c>
      <c r="D29" s="50" t="s">
        <v>178</v>
      </c>
      <c r="E29" s="50" t="s">
        <v>206</v>
      </c>
      <c r="F29" s="51"/>
      <c r="G29" s="49" t="s">
        <v>203</v>
      </c>
      <c r="H29" s="49" t="s">
        <v>180</v>
      </c>
      <c r="I29" s="52" t="n">
        <v>42005</v>
      </c>
      <c r="J29" s="38" t="s">
        <v>181</v>
      </c>
    </row>
    <row r="30" customFormat="false" ht="14.25" hidden="true" customHeight="false" outlineLevel="0" collapsed="false">
      <c r="A30" s="35" t="s">
        <v>111</v>
      </c>
      <c r="B30" s="51"/>
      <c r="C30" s="49" t="s">
        <v>195</v>
      </c>
      <c r="D30" s="50" t="s">
        <v>178</v>
      </c>
      <c r="E30" s="50" t="s">
        <v>198</v>
      </c>
      <c r="F30" s="51"/>
      <c r="G30" s="49" t="s">
        <v>203</v>
      </c>
      <c r="H30" s="49" t="s">
        <v>185</v>
      </c>
      <c r="I30" s="52" t="n">
        <v>42005</v>
      </c>
      <c r="J30" s="38" t="s">
        <v>181</v>
      </c>
    </row>
    <row r="31" customFormat="false" ht="14.25" hidden="false" customHeight="false" outlineLevel="0" collapsed="false">
      <c r="A31" s="35" t="s">
        <v>113</v>
      </c>
      <c r="B31" s="51"/>
      <c r="C31" s="49" t="s">
        <v>177</v>
      </c>
      <c r="D31" s="50" t="s">
        <v>178</v>
      </c>
      <c r="E31" s="39" t="s">
        <v>151</v>
      </c>
      <c r="F31" s="51"/>
      <c r="G31" s="49" t="s">
        <v>192</v>
      </c>
      <c r="H31" s="50" t="s">
        <v>180</v>
      </c>
      <c r="I31" s="52" t="n">
        <v>45506</v>
      </c>
    </row>
    <row r="32" customFormat="false" ht="14.25" hidden="true" customHeight="false" outlineLevel="0" collapsed="false">
      <c r="A32" s="35" t="s">
        <v>120</v>
      </c>
      <c r="B32" s="51"/>
      <c r="C32" s="49" t="s">
        <v>195</v>
      </c>
      <c r="D32" s="50" t="s">
        <v>178</v>
      </c>
      <c r="E32" s="35" t="s">
        <v>207</v>
      </c>
      <c r="F32" s="53"/>
      <c r="G32" s="49" t="s">
        <v>179</v>
      </c>
      <c r="H32" s="50" t="s">
        <v>180</v>
      </c>
      <c r="I32" s="52" t="n">
        <v>42005</v>
      </c>
      <c r="J32" s="38" t="s">
        <v>181</v>
      </c>
    </row>
    <row r="33" customFormat="false" ht="14.25" hidden="false" customHeight="false" outlineLevel="0" collapsed="false">
      <c r="A33" s="35" t="s">
        <v>125</v>
      </c>
      <c r="B33" s="51"/>
      <c r="C33" s="49" t="s">
        <v>177</v>
      </c>
      <c r="D33" s="50" t="s">
        <v>178</v>
      </c>
      <c r="E33" s="35" t="s">
        <v>207</v>
      </c>
      <c r="F33" s="39"/>
      <c r="G33" s="35" t="s">
        <v>179</v>
      </c>
      <c r="H33" s="50" t="s">
        <v>180</v>
      </c>
      <c r="I33" s="52" t="n">
        <v>45825</v>
      </c>
    </row>
    <row r="34" customFormat="false" ht="14.25" hidden="false" customHeight="false" outlineLevel="0" collapsed="false">
      <c r="A34" s="35"/>
      <c r="B34" s="35"/>
      <c r="C34" s="35"/>
      <c r="D34" s="35"/>
      <c r="E34" s="35"/>
      <c r="F34" s="35"/>
      <c r="G34" s="35"/>
      <c r="H34" s="35"/>
      <c r="I34" s="35"/>
    </row>
    <row r="35" customFormat="false" ht="14.25" hidden="false" customHeight="false" outlineLevel="0" collapsed="false">
      <c r="A35" s="35"/>
      <c r="B35" s="35"/>
      <c r="C35" s="35"/>
      <c r="D35" s="35"/>
      <c r="E35" s="35"/>
      <c r="F35" s="35"/>
      <c r="G35" s="35"/>
      <c r="H35" s="35"/>
      <c r="I35" s="35"/>
    </row>
    <row r="36" customFormat="false" ht="14.25" hidden="false" customHeight="false" outlineLevel="0" collapsed="false">
      <c r="A36" s="35"/>
      <c r="B36" s="35"/>
      <c r="C36" s="35"/>
      <c r="D36" s="35"/>
      <c r="E36" s="35"/>
      <c r="F36" s="35"/>
      <c r="G36" s="35"/>
      <c r="H36" s="35"/>
      <c r="I36" s="35"/>
    </row>
    <row r="37" customFormat="false" ht="14.25" hidden="false" customHeight="false" outlineLevel="0" collapsed="false">
      <c r="A37" s="35"/>
      <c r="B37" s="35"/>
      <c r="C37" s="35"/>
      <c r="D37" s="35"/>
      <c r="E37" s="35"/>
      <c r="F37" s="35"/>
      <c r="G37" s="35"/>
      <c r="H37" s="35"/>
      <c r="I37" s="35"/>
    </row>
    <row r="38" customFormat="false" ht="14.25" hidden="false" customHeight="false" outlineLevel="0" collapsed="false">
      <c r="A38" s="35"/>
      <c r="B38" s="35"/>
      <c r="C38" s="35"/>
      <c r="D38" s="35"/>
      <c r="E38" s="35"/>
      <c r="F38" s="35"/>
      <c r="G38" s="35"/>
      <c r="H38" s="35"/>
      <c r="I38" s="35"/>
    </row>
    <row r="39" customFormat="false" ht="14.25" hidden="false" customHeight="false" outlineLevel="0" collapsed="false">
      <c r="A39" s="35"/>
      <c r="B39" s="35"/>
      <c r="C39" s="35"/>
      <c r="D39" s="35"/>
      <c r="E39" s="35"/>
      <c r="F39" s="35"/>
      <c r="G39" s="35"/>
      <c r="H39" s="35"/>
      <c r="I39" s="35"/>
    </row>
    <row r="40" customFormat="false" ht="14.25" hidden="false" customHeight="false" outlineLevel="0" collapsed="false">
      <c r="A40" s="35"/>
      <c r="B40" s="35"/>
      <c r="C40" s="35"/>
      <c r="D40" s="35"/>
      <c r="E40" s="35"/>
      <c r="F40" s="35"/>
      <c r="G40" s="35"/>
      <c r="H40" s="35"/>
      <c r="I40" s="35"/>
    </row>
    <row r="41" customFormat="false" ht="14.25" hidden="false" customHeight="false" outlineLevel="0" collapsed="false">
      <c r="D41" s="30"/>
      <c r="E41" s="30"/>
      <c r="F41" s="30"/>
    </row>
    <row r="42" customFormat="false" ht="14.25" hidden="false" customHeight="false" outlineLevel="0" collapsed="false">
      <c r="D42" s="30"/>
      <c r="E42" s="30"/>
      <c r="F42" s="30"/>
    </row>
    <row r="43" customFormat="false" ht="14.25" hidden="false" customHeight="false" outlineLevel="0" collapsed="false">
      <c r="D43" s="30"/>
      <c r="E43" s="30"/>
      <c r="F43" s="30"/>
    </row>
    <row r="44" customFormat="false" ht="14.25" hidden="false" customHeight="false" outlineLevel="0" collapsed="false">
      <c r="D44" s="30"/>
      <c r="E44" s="30"/>
      <c r="F44" s="30"/>
    </row>
    <row r="45" customFormat="false" ht="14.25" hidden="false" customHeight="false" outlineLevel="0" collapsed="false">
      <c r="D45" s="30"/>
      <c r="E45" s="30"/>
      <c r="F45" s="30"/>
    </row>
    <row r="46" customFormat="false" ht="14.25" hidden="false" customHeight="false" outlineLevel="0" collapsed="false">
      <c r="D46" s="30"/>
      <c r="E46" s="30"/>
      <c r="F46" s="30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I33">
    <filterColumn colId="2">
      <filters>
        <filter val="ACTIVO"/>
      </filters>
    </filterColumn>
    <sortState ref="A2:I33">
      <sortCondition ref="A2:A33" customList=""/>
    </sortState>
  </autoFilter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30" width="8.73"/>
    <col collapsed="false" customWidth="true" hidden="false" outlineLevel="0" max="4" min="4" style="30" width="14"/>
    <col collapsed="false" customWidth="true" hidden="false" outlineLevel="0" max="5" min="5" style="30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54" t="s">
        <v>208</v>
      </c>
      <c r="E2" s="54"/>
      <c r="H2" s="54" t="s">
        <v>209</v>
      </c>
      <c r="I2" s="54"/>
      <c r="K2" s="38" t="s">
        <v>210</v>
      </c>
    </row>
    <row r="3" customFormat="false" ht="15" hidden="false" customHeight="false" outlineLevel="0" collapsed="false">
      <c r="C3" s="54" t="s">
        <v>211</v>
      </c>
      <c r="D3" s="54" t="s">
        <v>212</v>
      </c>
      <c r="E3" s="54" t="s">
        <v>66</v>
      </c>
      <c r="H3" s="54" t="s">
        <v>212</v>
      </c>
      <c r="I3" s="54" t="s">
        <v>66</v>
      </c>
      <c r="K3" s="55" t="s">
        <v>213</v>
      </c>
    </row>
    <row r="4" customFormat="false" ht="15" hidden="false" customHeight="false" outlineLevel="0" collapsed="false">
      <c r="B4" s="56" t="s">
        <v>214</v>
      </c>
      <c r="C4" s="54"/>
      <c r="D4" s="54"/>
      <c r="E4" s="54"/>
      <c r="G4" s="56" t="s">
        <v>214</v>
      </c>
      <c r="H4" s="54"/>
      <c r="I4" s="54"/>
      <c r="K4" s="55" t="s">
        <v>215</v>
      </c>
    </row>
    <row r="5" customFormat="false" ht="15" hidden="false" customHeight="false" outlineLevel="0" collapsed="false">
      <c r="B5" s="56" t="s">
        <v>193</v>
      </c>
      <c r="C5" s="54"/>
      <c r="D5" s="54"/>
      <c r="E5" s="54"/>
      <c r="G5" s="56" t="s">
        <v>193</v>
      </c>
      <c r="H5" s="54"/>
      <c r="I5" s="54"/>
      <c r="K5" s="55" t="s">
        <v>216</v>
      </c>
    </row>
    <row r="6" customFormat="false" ht="14.25" hidden="false" customHeight="false" outlineLevel="0" collapsed="false">
      <c r="B6" s="56" t="s">
        <v>187</v>
      </c>
      <c r="C6" s="54" t="n">
        <v>1774</v>
      </c>
      <c r="D6" s="54" t="s">
        <v>217</v>
      </c>
      <c r="E6" s="54" t="s">
        <v>217</v>
      </c>
      <c r="G6" s="56" t="s">
        <v>187</v>
      </c>
      <c r="H6" s="54" t="s">
        <v>217</v>
      </c>
      <c r="I6" s="54" t="s">
        <v>217</v>
      </c>
    </row>
    <row r="7" customFormat="false" ht="14.25" hidden="false" customHeight="false" outlineLevel="0" collapsed="false">
      <c r="B7" s="56" t="s">
        <v>180</v>
      </c>
      <c r="C7" s="54" t="n">
        <v>2088</v>
      </c>
      <c r="D7" s="54" t="n">
        <v>2025</v>
      </c>
      <c r="E7" s="54" t="s">
        <v>218</v>
      </c>
      <c r="G7" s="56" t="s">
        <v>180</v>
      </c>
      <c r="H7" s="54" t="n">
        <v>2029</v>
      </c>
      <c r="I7" s="54" t="s">
        <v>219</v>
      </c>
    </row>
    <row r="8" customFormat="false" ht="14.25" hidden="false" customHeight="false" outlineLevel="0" collapsed="false">
      <c r="B8" s="56" t="s">
        <v>185</v>
      </c>
      <c r="C8" s="54" t="n">
        <v>675</v>
      </c>
      <c r="D8" s="54" t="s">
        <v>220</v>
      </c>
      <c r="E8" s="54" t="s">
        <v>218</v>
      </c>
      <c r="G8" s="56" t="s">
        <v>185</v>
      </c>
      <c r="H8" s="54" t="n">
        <v>2033</v>
      </c>
      <c r="I8" s="54" t="s">
        <v>219</v>
      </c>
    </row>
    <row r="11" customFormat="false" ht="14.25" hidden="false" customHeight="false" outlineLevel="0" collapsed="false">
      <c r="L11" s="57"/>
    </row>
    <row r="13" customFormat="false" ht="14.25" hidden="false" customHeight="false" outlineLevel="0" collapsed="false">
      <c r="D13" s="58"/>
    </row>
    <row r="14" customFormat="false" ht="14.25" hidden="false" customHeight="false" outlineLevel="0" collapsed="false">
      <c r="D14" s="58"/>
    </row>
    <row r="15" customFormat="false" ht="14.25" hidden="false" customHeight="false" outlineLevel="0" collapsed="false">
      <c r="D15" s="58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221</v>
      </c>
      <c r="B1" s="38" t="s">
        <v>222</v>
      </c>
      <c r="C1" s="38" t="s">
        <v>223</v>
      </c>
      <c r="D1" s="38" t="s">
        <v>224</v>
      </c>
      <c r="E1" s="38" t="s">
        <v>225</v>
      </c>
      <c r="F1" s="38" t="s">
        <v>226</v>
      </c>
      <c r="G1" s="38" t="s">
        <v>227</v>
      </c>
      <c r="H1" s="38" t="s">
        <v>176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2" min="2" style="1" width="27.17"/>
  </cols>
  <sheetData>
    <row r="1" customFormat="false" ht="14.25" hidden="false" customHeight="false" outlineLevel="0" collapsed="false">
      <c r="A1" s="38" t="s">
        <v>1</v>
      </c>
      <c r="B1" s="38" t="s">
        <v>228</v>
      </c>
    </row>
    <row r="2" customFormat="false" ht="14.25" hidden="false" customHeight="true" outlineLevel="0" collapsed="false">
      <c r="A2" s="59" t="s">
        <v>180</v>
      </c>
    </row>
    <row r="3" customFormat="false" ht="14.25" hidden="false" customHeight="true" outlineLevel="0" collapsed="false">
      <c r="A3" s="59" t="s">
        <v>185</v>
      </c>
    </row>
    <row r="4" customFormat="false" ht="14.25" hidden="false" customHeight="true" outlineLevel="0" collapsed="false">
      <c r="A4" s="59" t="s">
        <v>187</v>
      </c>
    </row>
    <row r="5" customFormat="false" ht="14.25" hidden="false" customHeight="true" outlineLevel="0" collapsed="false">
      <c r="A5" s="59" t="s">
        <v>193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135</v>
      </c>
    </row>
    <row r="2" customFormat="false" ht="14.25" hidden="false" customHeight="false" outlineLevel="0" collapsed="false">
      <c r="A2" s="38" t="s">
        <v>177</v>
      </c>
    </row>
    <row r="3" customFormat="false" ht="14.25" hidden="false" customHeight="false" outlineLevel="0" collapsed="false">
      <c r="A3" s="38" t="s">
        <v>195</v>
      </c>
    </row>
  </sheetData>
  <autoFilter ref="A1:A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229</v>
      </c>
      <c r="B1" s="38" t="s">
        <v>228</v>
      </c>
    </row>
    <row r="2" customFormat="false" ht="14.25" hidden="false" customHeight="true" outlineLevel="0" collapsed="false">
      <c r="A2" s="59" t="s">
        <v>178</v>
      </c>
    </row>
    <row r="3" customFormat="false" ht="14.25" hidden="false" customHeight="true" outlineLevel="0" collapsed="false">
      <c r="A3" s="0" t="s">
        <v>230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231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231</v>
      </c>
      <c r="B1" s="38" t="s">
        <v>228</v>
      </c>
    </row>
    <row r="2" customFormat="false" ht="14.25" hidden="false" customHeight="true" outlineLevel="0" collapsed="false">
      <c r="A2" s="59" t="s">
        <v>182</v>
      </c>
    </row>
    <row r="3" customFormat="false" ht="14.25" hidden="false" customHeight="true" outlineLevel="0" collapsed="false">
      <c r="A3" s="59" t="s">
        <v>184</v>
      </c>
    </row>
    <row r="4" customFormat="false" ht="14.25" hidden="false" customHeight="true" outlineLevel="0" collapsed="false">
      <c r="A4" s="59" t="s">
        <v>189</v>
      </c>
    </row>
    <row r="5" customFormat="false" ht="14.25" hidden="false" customHeight="true" outlineLevel="0" collapsed="false">
      <c r="A5" s="59" t="s">
        <v>197</v>
      </c>
    </row>
    <row r="6" customFormat="false" ht="14.25" hidden="false" customHeight="true" outlineLevel="0" collapsed="false">
      <c r="A6" s="59" t="s">
        <v>198</v>
      </c>
    </row>
    <row r="7" customFormat="false" ht="14.25" hidden="false" customHeight="true" outlineLevel="0" collapsed="false">
      <c r="A7" s="59" t="s">
        <v>205</v>
      </c>
    </row>
    <row r="8" customFormat="false" ht="14.25" hidden="false" customHeight="true" outlineLevel="0" collapsed="false">
      <c r="A8" s="59" t="s">
        <v>206</v>
      </c>
    </row>
    <row r="9" customFormat="false" ht="14.25" hidden="false" customHeight="true" outlineLevel="0" collapsed="false">
      <c r="A9" s="59" t="s">
        <v>151</v>
      </c>
    </row>
    <row r="10" customFormat="false" ht="14.25" hidden="false" customHeight="true" outlineLevel="0" collapsed="false">
      <c r="A10" s="59" t="s">
        <v>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224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232</v>
      </c>
    </row>
    <row r="2" customFormat="false" ht="14.25" hidden="false" customHeight="true" outlineLevel="0" collapsed="false">
      <c r="A2" s="59" t="s">
        <v>179</v>
      </c>
    </row>
    <row r="3" customFormat="false" ht="14.25" hidden="false" customHeight="true" outlineLevel="0" collapsed="false">
      <c r="A3" s="59" t="s">
        <v>183</v>
      </c>
    </row>
    <row r="4" customFormat="false" ht="14.25" hidden="false" customHeight="true" outlineLevel="0" collapsed="false">
      <c r="A4" s="59" t="s">
        <v>190</v>
      </c>
    </row>
    <row r="5" customFormat="false" ht="14.25" hidden="false" customHeight="true" outlineLevel="0" collapsed="false">
      <c r="A5" s="59" t="s">
        <v>203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2026-02-14T00:20:16Z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