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6776f8324ada0678/Luis_Prácticas/"/>
    </mc:Choice>
  </mc:AlternateContent>
  <xr:revisionPtr revIDLastSave="37" documentId="8_{D4B1AD90-8CDD-48D9-87F5-0154B348FE3E}" xr6:coauthVersionLast="47" xr6:coauthVersionMax="47" xr10:uidLastSave="{8E3E2FC1-CC03-4799-9B63-43F274741237}"/>
  <bookViews>
    <workbookView xWindow="-110" yWindow="-110" windowWidth="19420" windowHeight="10420" activeTab="1" xr2:uid="{00000000-000D-0000-FFFF-FFFF00000000}"/>
  </bookViews>
  <sheets>
    <sheet name="Resumen" sheetId="4" r:id="rId1"/>
    <sheet name="Cassette" sheetId="1" r:id="rId2"/>
    <sheet name="Condensadoras" sheetId="2" r:id="rId3"/>
    <sheet name="Gases" sheetId="3" r:id="rId4"/>
    <sheet name="AVERIAS" sheetId="5" r:id="rId5"/>
    <sheet name="PARAM_GASES" sheetId="6" r:id="rId6"/>
    <sheet name="PARAM_MARCAS" sheetId="7" r:id="rId7"/>
    <sheet name="PARAM_MODELOS_CAS" sheetId="8" r:id="rId8"/>
    <sheet name="PARAM_MODELOS_COND" sheetId="11" r:id="rId9"/>
    <sheet name="PARAM_PLANTAS" sheetId="9" r:id="rId10"/>
    <sheet name="PARAM_LOC_COND" sheetId="10" r:id="rId11"/>
    <sheet name="PARAM_UBICACIONES_CASSETTES" sheetId="19" r:id="rId12"/>
    <sheet name="PARAM_ESTADO" sheetId="20" r:id="rId13"/>
  </sheets>
  <definedNames>
    <definedName name="_xlnm._FilterDatabase" localSheetId="1" hidden="1">Cassette!$A$1:$L$106</definedName>
    <definedName name="_xlnm._FilterDatabase" localSheetId="2" hidden="1">Condensadoras!$A$1:$M$33</definedName>
  </definedNames>
  <calcPr calcId="191028"/>
  <pivotCaches>
    <pivotCache cacheId="0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tc={7E2F94D3-46A5-468F-8832-FEE4053C771E}</author>
  </authors>
  <commentList>
    <comment ref="I32" authorId="0" shapeId="0" xr:uid="{7E2F94D3-46A5-468F-8832-FEE4053C771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@Quim Gil si necesitas algo al movil.. Que tengo que salir de mi sitio</t>
      </text>
    </comment>
  </commentList>
</comments>
</file>

<file path=xl/sharedStrings.xml><?xml version="1.0" encoding="utf-8"?>
<sst xmlns="http://schemas.openxmlformats.org/spreadsheetml/2006/main" count="1127" uniqueCount="241">
  <si>
    <t>Cuenta de Planta</t>
  </si>
  <si>
    <t>GAS</t>
  </si>
  <si>
    <t>CONDENSADORA</t>
  </si>
  <si>
    <t>fecha</t>
  </si>
  <si>
    <t>Planta</t>
  </si>
  <si>
    <t>LOCALIZACIÓN COND.</t>
  </si>
  <si>
    <t>Nº CASSETTE</t>
  </si>
  <si>
    <t>NOMBRE</t>
  </si>
  <si>
    <t>R-410A</t>
  </si>
  <si>
    <t>R-32</t>
  </si>
  <si>
    <t>(en blanco)</t>
  </si>
  <si>
    <t>A</t>
  </si>
  <si>
    <t>01/01/2007</t>
  </si>
  <si>
    <t>4 Planta</t>
  </si>
  <si>
    <t>Azotea - Detrás</t>
  </si>
  <si>
    <t>Informática</t>
  </si>
  <si>
    <t>Pasillo</t>
  </si>
  <si>
    <t>Secretaria direción</t>
  </si>
  <si>
    <t>Vestidor</t>
  </si>
  <si>
    <t>Sr Jaume</t>
  </si>
  <si>
    <t>Toni font</t>
  </si>
  <si>
    <t>Office 4a planta</t>
  </si>
  <si>
    <t>Jose Maria</t>
  </si>
  <si>
    <t>Jurídico</t>
  </si>
  <si>
    <t>Sala Reuniones IT</t>
  </si>
  <si>
    <t>Ruben Masip</t>
  </si>
  <si>
    <t>AA</t>
  </si>
  <si>
    <t>3 Planta</t>
  </si>
  <si>
    <t>Azotea-Otra Porteria</t>
  </si>
  <si>
    <t>Roger AMK1</t>
  </si>
  <si>
    <t>AMK2</t>
  </si>
  <si>
    <t>Despacho 2 DUM</t>
  </si>
  <si>
    <t>Pool DUM</t>
  </si>
  <si>
    <t>Gerencia DUM</t>
  </si>
  <si>
    <t>Office DUM</t>
  </si>
  <si>
    <t>Sala Reuniones DUM</t>
  </si>
  <si>
    <t>Pasillo DUM</t>
  </si>
  <si>
    <t>B</t>
  </si>
  <si>
    <t>Sala Intermedia CLUB/DUM</t>
  </si>
  <si>
    <t>Polivalente 1</t>
  </si>
  <si>
    <t>Despatx Oriol</t>
  </si>
  <si>
    <t>Despatx Mimi</t>
  </si>
  <si>
    <t>Despatx Iñaki</t>
  </si>
  <si>
    <t>Conchi</t>
  </si>
  <si>
    <t>Pasillo Markant</t>
  </si>
  <si>
    <t>Tania</t>
  </si>
  <si>
    <t>Despatx Gemma Peris</t>
  </si>
  <si>
    <t>Entrada Club</t>
  </si>
  <si>
    <t>C</t>
  </si>
  <si>
    <t>2 Planta</t>
  </si>
  <si>
    <t>Ana Rion</t>
  </si>
  <si>
    <t>Santi</t>
  </si>
  <si>
    <t>Roser</t>
  </si>
  <si>
    <t>Esther</t>
  </si>
  <si>
    <t>Auditores</t>
  </si>
  <si>
    <t>Juana</t>
  </si>
  <si>
    <t>Jaume Font sostre</t>
  </si>
  <si>
    <t>Elena</t>
  </si>
  <si>
    <t>Biblioteca 1</t>
  </si>
  <si>
    <t>Anna fossas</t>
  </si>
  <si>
    <t>Biblioteca 2</t>
  </si>
  <si>
    <t>Archivo 43</t>
  </si>
  <si>
    <t>CON1</t>
  </si>
  <si>
    <t>F5</t>
  </si>
  <si>
    <t>Sala consejo 1</t>
  </si>
  <si>
    <t>CON2</t>
  </si>
  <si>
    <t>F6</t>
  </si>
  <si>
    <t>Sala consejo 2</t>
  </si>
  <si>
    <t>F</t>
  </si>
  <si>
    <t>1 Planta</t>
  </si>
  <si>
    <t>Albert Sala</t>
  </si>
  <si>
    <t>Agustin Turiel</t>
  </si>
  <si>
    <t>Cande</t>
  </si>
  <si>
    <t>Office 1a planta</t>
  </si>
  <si>
    <t>G</t>
  </si>
  <si>
    <t>Ferran</t>
  </si>
  <si>
    <t>José Moreno</t>
  </si>
  <si>
    <t>Julio</t>
  </si>
  <si>
    <t>Laura Serra</t>
  </si>
  <si>
    <t>Josep Martinez</t>
  </si>
  <si>
    <t>Jose Roldán</t>
  </si>
  <si>
    <t>Ana Pastor</t>
  </si>
  <si>
    <t>Begoña</t>
  </si>
  <si>
    <t>Carlos Alegre</t>
  </si>
  <si>
    <t>Planta Baja</t>
  </si>
  <si>
    <t>Comedor 1</t>
  </si>
  <si>
    <t xml:space="preserve">Comedor 2 </t>
  </si>
  <si>
    <t>I</t>
  </si>
  <si>
    <t>F2</t>
  </si>
  <si>
    <t>Polivalente 2</t>
  </si>
  <si>
    <t>F1</t>
  </si>
  <si>
    <t>Sala gerencia</t>
  </si>
  <si>
    <t>J</t>
  </si>
  <si>
    <t>Azotea - Frente</t>
  </si>
  <si>
    <t>F3</t>
  </si>
  <si>
    <t>Sr Jaume suelo pared</t>
  </si>
  <si>
    <t>L</t>
  </si>
  <si>
    <t>Sala Servidores - Aire 1</t>
  </si>
  <si>
    <t>M</t>
  </si>
  <si>
    <t>Sala Servidores - Aire 2</t>
  </si>
  <si>
    <t>N</t>
  </si>
  <si>
    <t>Sala Servidores - Aire 3</t>
  </si>
  <si>
    <t>O</t>
  </si>
  <si>
    <t>Roge (encima suyo)</t>
  </si>
  <si>
    <t>P</t>
  </si>
  <si>
    <t>F7</t>
  </si>
  <si>
    <t xml:space="preserve">Joaquin </t>
  </si>
  <si>
    <t>E</t>
  </si>
  <si>
    <t>Azotea Detras</t>
  </si>
  <si>
    <t>Mantenimiento</t>
  </si>
  <si>
    <t>Recepción Olivera</t>
  </si>
  <si>
    <t>Seguridad</t>
  </si>
  <si>
    <t>Recepción carretera</t>
  </si>
  <si>
    <t>Sala perfumeria PB</t>
  </si>
  <si>
    <t>Exposición</t>
  </si>
  <si>
    <t>PB4</t>
  </si>
  <si>
    <t>F18</t>
  </si>
  <si>
    <t>Cocina</t>
  </si>
  <si>
    <t>Q</t>
  </si>
  <si>
    <t>F8</t>
  </si>
  <si>
    <t>David</t>
  </si>
  <si>
    <t>S</t>
  </si>
  <si>
    <t>F12</t>
  </si>
  <si>
    <t>Mitad PC</t>
  </si>
  <si>
    <t>T</t>
  </si>
  <si>
    <t>F13</t>
  </si>
  <si>
    <t>U</t>
  </si>
  <si>
    <t>F14</t>
  </si>
  <si>
    <t>Recibidor Anna Fossas</t>
  </si>
  <si>
    <t>V</t>
  </si>
  <si>
    <t>E - 2025</t>
  </si>
  <si>
    <t>F15</t>
  </si>
  <si>
    <t>Adrian Gil</t>
  </si>
  <si>
    <t>W</t>
  </si>
  <si>
    <t>Anna Pastor</t>
  </si>
  <si>
    <t>X</t>
  </si>
  <si>
    <t>Azotea-Detrás</t>
  </si>
  <si>
    <t>F10</t>
  </si>
  <si>
    <t>Yolanda Romo</t>
  </si>
  <si>
    <t>F9</t>
  </si>
  <si>
    <t>Jaume Font Pared</t>
  </si>
  <si>
    <t>F11</t>
  </si>
  <si>
    <t>Esther Quintela</t>
  </si>
  <si>
    <t>F4</t>
  </si>
  <si>
    <t>Firmadora</t>
  </si>
  <si>
    <t>F16</t>
  </si>
  <si>
    <t>Comedor 1 - entrando derecha</t>
  </si>
  <si>
    <t>F17</t>
  </si>
  <si>
    <t>Comedor 2 - entrando derecha</t>
  </si>
  <si>
    <t>Y</t>
  </si>
  <si>
    <t>LIBRE</t>
  </si>
  <si>
    <t>Fede</t>
  </si>
  <si>
    <t>Patri</t>
  </si>
  <si>
    <t>Parral</t>
  </si>
  <si>
    <t>Z</t>
  </si>
  <si>
    <t>Ortigosa</t>
  </si>
  <si>
    <t>Sala Comercial</t>
  </si>
  <si>
    <t>Avellaneda</t>
  </si>
  <si>
    <t>Lado Gestor Socio</t>
  </si>
  <si>
    <t>Luis Martinez</t>
  </si>
  <si>
    <t>Raul/Malala</t>
  </si>
  <si>
    <t/>
  </si>
  <si>
    <t>Condensadora F - Linea Azul</t>
  </si>
  <si>
    <t>Condendadora E - Linea Roja</t>
  </si>
  <si>
    <t>Condensadora D - Linea Amarilla</t>
  </si>
  <si>
    <t>Total general</t>
  </si>
  <si>
    <t>37,5 kw</t>
  </si>
  <si>
    <t>33,5 kw</t>
  </si>
  <si>
    <t>PUMY-P300YBM2</t>
  </si>
  <si>
    <t>PURY-P300YNWa2</t>
  </si>
  <si>
    <t>Marca</t>
  </si>
  <si>
    <t>Model</t>
  </si>
  <si>
    <t>MITSUBISHI</t>
  </si>
  <si>
    <t>Posible fecha sin verificar</t>
  </si>
  <si>
    <t>PURY-P300YNW-A</t>
  </si>
  <si>
    <t>SUZ-SM71VA</t>
  </si>
  <si>
    <t>D</t>
  </si>
  <si>
    <t>R-407</t>
  </si>
  <si>
    <t>DESINSTALADO 2024</t>
  </si>
  <si>
    <t>SUZ-KA50VA</t>
  </si>
  <si>
    <t>JA1</t>
  </si>
  <si>
    <t>R-22</t>
  </si>
  <si>
    <t>K</t>
  </si>
  <si>
    <t>PUHZ-RP140YKA</t>
  </si>
  <si>
    <t>SUZ-M50VA</t>
  </si>
  <si>
    <t>SUZ-M35VA</t>
  </si>
  <si>
    <t>PB2</t>
  </si>
  <si>
    <t>Linea Amarilla</t>
  </si>
  <si>
    <t>PB3</t>
  </si>
  <si>
    <t>Linea Roja</t>
  </si>
  <si>
    <t>Patio Olivera</t>
  </si>
  <si>
    <t>R</t>
  </si>
  <si>
    <t>SUZ-KA60VA2</t>
  </si>
  <si>
    <t>KA35VA6</t>
  </si>
  <si>
    <t>PUMY-P300YBM</t>
  </si>
  <si>
    <t>Según Mitsubishi</t>
  </si>
  <si>
    <t>Según Toshiba</t>
  </si>
  <si>
    <t>Toshiba diu:</t>
  </si>
  <si>
    <t>PCG/PCA</t>
  </si>
  <si>
    <t>Venta</t>
  </si>
  <si>
    <t>1. Fabricació d´equips VRF amb R410A fins 1/gener/2029</t>
  </si>
  <si>
    <t>Anteriores</t>
  </si>
  <si>
    <t>2. Fabricació d´equips VRF amb R32 fins 1/gener/2033</t>
  </si>
  <si>
    <t>3. Disponibilitat de R410A i R32 per manteniments. Disponible fins 2050 amb una reducció de la quota d´importació molt important fins el 2030 i després paulatina. Hi haurà un increment de disponibilitat de R410A com a gas regenerat (no verge).</t>
  </si>
  <si>
    <t>????</t>
  </si>
  <si>
    <t>mínimo 2030</t>
  </si>
  <si>
    <t>2050 ???</t>
  </si>
  <si>
    <t>sustituye R410A</t>
  </si>
  <si>
    <t>fecha_instalacion</t>
  </si>
  <si>
    <t>LOCALIZACIÓN_CONDENSADORA</t>
  </si>
  <si>
    <t>MARCA/MODELO</t>
  </si>
  <si>
    <t>POTENCIA_FRIO</t>
  </si>
  <si>
    <t>POTENCIA_CALOR</t>
  </si>
  <si>
    <t>NUM_CASSETTE</t>
  </si>
  <si>
    <t>FECHA_REVISION</t>
  </si>
  <si>
    <t>NUM_SECUENCIA</t>
  </si>
  <si>
    <t>ESTADO</t>
  </si>
  <si>
    <t>ACTIVA</t>
  </si>
  <si>
    <t>AVERIA</t>
  </si>
  <si>
    <t>FOTO</t>
  </si>
  <si>
    <t>NUM_SERIE_COND</t>
  </si>
  <si>
    <t>NUM_SERIE_CAS</t>
  </si>
  <si>
    <t>FECHA_INSTALACION</t>
  </si>
  <si>
    <t>OBSERVACIONES</t>
  </si>
  <si>
    <t>EQUIPO_AVERIADO</t>
  </si>
  <si>
    <t>CODIGO</t>
  </si>
  <si>
    <t>PLANTA</t>
  </si>
  <si>
    <t>LOCALIZACION</t>
  </si>
  <si>
    <t>FECHA_AVERIA</t>
  </si>
  <si>
    <t>MAIL_ENVIADO</t>
  </si>
  <si>
    <t>NUM_AVERIA</t>
  </si>
  <si>
    <t>DESCRIPCION</t>
  </si>
  <si>
    <t>MARCA</t>
  </si>
  <si>
    <t>MODELO</t>
  </si>
  <si>
    <t>LOCALIZACION_CONDENSADORA</t>
  </si>
  <si>
    <t>FECHA CADUCIDAD</t>
  </si>
  <si>
    <t>FECHA REVISION</t>
  </si>
  <si>
    <t>FECHA_BAJA</t>
  </si>
  <si>
    <t>ACTIVO</t>
  </si>
  <si>
    <t>BAJA</t>
  </si>
  <si>
    <t>AVERIADO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</si>
</sst>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color theme="1"/>
      <name val="Aptos"/>
      <family val="2"/>
    </font>
    <font>
      <sz val="12"/>
      <color theme="1"/>
      <name val="Aptos"/>
      <family val="2"/>
    </font>
    <font>
      <sz val="10"/>
      <color rgb="FF000000"/>
      <name val="Segoe UI"/>
      <family val="2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0" fillId="0" borderId="0" xfId="0" pivotButton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14" fontId="0" fillId="0" borderId="2" xfId="0" applyNumberFormat="1" applyBorder="1" applyAlignment="1">
      <alignment horizontal="center" vertical="center"/>
    </xf>
    <xf numFmtId="0" fontId="4" fillId="0" borderId="0" xfId="0" applyFont="1" applyAlignment="1">
      <alignment horizontal="left" vertical="center" inden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164" fontId="5" fillId="0" borderId="0" xfId="0" applyNumberFormat="1" applyFont="1"/>
    <xf numFmtId="0" fontId="0" fillId="4" borderId="2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wrapText="1"/>
    </xf>
    <xf numFmtId="0" fontId="6" fillId="4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4" fontId="2" fillId="3" borderId="3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39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679450</xdr:colOff>
      <xdr:row>8</xdr:row>
      <xdr:rowOff>133349</xdr:rowOff>
    </xdr:from>
    <xdr:to>
      <xdr:col>9</xdr:col>
      <xdr:colOff>62063</xdr:colOff>
      <xdr:row>31</xdr:row>
      <xdr:rowOff>46804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B90C880-8078-4E14-C946-08B501250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9450" y="1606549"/>
          <a:ext cx="7129613" cy="414890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Quim Gil" id="{E92835D2-3067-498B-BC90-949889E8C6D8}" userId="qgil@euromadi.es" providerId="PeoplePicker"/>
  <person displayName="Seguridad" id="{0B21064B-D585-4031-A961-87307B4627DB}" userId="S::seguridad@euromadi.es::b05418e9-177c-40e2-b1fa-4026b032dec2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ben Masip" refreshedDate="45919.362315046295" createdVersion="8" refreshedVersion="8" minRefreshableVersion="3" recordCount="128" xr:uid="{2C90B465-2829-4B2F-8B9C-FB34AC8155D0}">
  <cacheSource type="worksheet">
    <worksheetSource ref="A1:M1276" sheet="Cassette"/>
  </cacheSource>
  <cacheFields count="10">
    <cacheField name="Nº CASSETTE" numFmtId="0">
      <sharedItems containsBlank="1" containsMixedTypes="1" containsNumber="1" containsInteger="1" minValue="1" maxValue="49" count="71">
        <n v="9"/>
        <n v="10"/>
        <n v="11"/>
        <n v="12"/>
        <n v="13"/>
        <n v="14"/>
        <n v="15"/>
        <n v="16"/>
        <n v="17"/>
        <n v="18"/>
        <n v="19"/>
        <n v="21"/>
        <n v="40"/>
        <n v="45"/>
        <n v="46"/>
        <n v="47"/>
        <n v="48"/>
        <n v="49"/>
        <s v="F10"/>
        <s v="F15"/>
        <n v="32"/>
        <n v="33"/>
        <n v="34"/>
        <n v="35"/>
        <n v="36"/>
        <n v="37"/>
        <n v="38"/>
        <n v="39"/>
        <n v="41"/>
        <n v="42"/>
        <n v="43"/>
        <n v="44"/>
        <s v="F11"/>
        <s v="F12"/>
        <s v="F13"/>
        <s v="F14"/>
        <s v="F9"/>
        <n v="1"/>
        <n v="2"/>
        <n v="3"/>
        <n v="4"/>
        <n v="5"/>
        <n v="6"/>
        <n v="20"/>
        <n v="22"/>
        <n v="23"/>
        <n v="24"/>
        <n v="25"/>
        <n v="26"/>
        <n v="27"/>
        <n v="28"/>
        <n v="29"/>
        <s v="F2"/>
        <s v="F7"/>
        <s v="F8"/>
        <m/>
        <n v="7"/>
        <n v="8"/>
        <s v="F1"/>
        <s v="F3"/>
        <s v="F4"/>
        <s v="F5"/>
        <s v="F6"/>
        <n v="30"/>
        <n v="31"/>
        <s v="F16"/>
        <s v="F17"/>
        <s v="F18"/>
        <s v="Condensadora F - Linea Azul"/>
        <s v="Condendadora E - Linea Roja"/>
        <s v="Condensadora D - Linea Amarilla"/>
      </sharedItems>
    </cacheField>
    <cacheField name="Planta" numFmtId="0">
      <sharedItems containsBlank="1" count="6">
        <s v="1 Planta"/>
        <s v="2 Planta"/>
        <s v="3 Planta"/>
        <s v="4 Planta"/>
        <s v="Planta Baja"/>
        <m/>
      </sharedItems>
    </cacheField>
    <cacheField name="NOMBRE" numFmtId="0">
      <sharedItems containsBlank="1" count="95">
        <s v="Ferran"/>
        <s v="José Moreno"/>
        <s v="Julio"/>
        <s v="Laura Serra"/>
        <s v="Josep Martinez"/>
        <s v="Jose Roldán"/>
        <s v="Albert Sala"/>
        <s v="Ana Pastor"/>
        <s v="Begoña"/>
        <s v="Carlos Alegre"/>
        <s v="Agustin Turiel"/>
        <s v="Office 1a planta"/>
        <s v="Cande"/>
        <s v="Anna Pastor"/>
        <s v="Ortigosa"/>
        <s v="Sala Comercial"/>
        <s v="Avellaneda"/>
        <s v="Lado Gestor Socio"/>
        <s v="Luis Martinez"/>
        <s v="Yolanda Romo"/>
        <s v="Adrian Gil"/>
        <s v="Auditores"/>
        <s v="Ana Rion"/>
        <s v="Santi"/>
        <s v="Roser"/>
        <s v="Juana"/>
        <s v="Jaume Font sostre"/>
        <s v="Elena"/>
        <s v="Esther"/>
        <s v="Biblioteca 1"/>
        <s v="Anna fossas"/>
        <s v="Biblioteca 2"/>
        <s v="Archivo 43"/>
        <s v="Raul/Malala"/>
        <s v="Esther Quintela"/>
        <s v="Mitad PC"/>
        <s v="Recibidor Anna Fossas"/>
        <s v="Jaume Font Pared"/>
        <s v="Sala Reuniones DUM"/>
        <s v="Pasillo DUM"/>
        <s v="Roger AMK1"/>
        <s v="AMK2"/>
        <s v="Despacho 2 DUM"/>
        <s v="Pool DUM"/>
        <s v="Sala Intermedia CLUB/DUM"/>
        <s v="Entrada Club"/>
        <s v="Polivalente 1"/>
        <s v="Despatx Oriol"/>
        <s v="Despatx Mimi"/>
        <s v="Despatx Iñaki"/>
        <s v="Conchi"/>
        <s v="Pasillo Markant"/>
        <s v="Tania"/>
        <s v="Despatx Gemma Peris"/>
        <s v="Fede"/>
        <s v="Patri"/>
        <s v="Parral"/>
        <s v="Roge (encima suyo)"/>
        <s v="Gerencia DUM"/>
        <s v="Office DUM"/>
        <s v="Polivalente 2"/>
        <s v="Joaquin "/>
        <s v="David"/>
        <s v="LIBRE"/>
        <s v="Informática"/>
        <s v="Pasillo"/>
        <s v="Secretaria direción"/>
        <s v="Vestidor"/>
        <s v="Sr Jaume"/>
        <s v="Toni font"/>
        <s v="Office 4a planta"/>
        <s v="Jose Maria"/>
        <s v="Jurídico"/>
        <s v="Sala Reuniones IT"/>
        <s v="Ruben Masip"/>
        <s v="Sala Servidores - Aire 1"/>
        <s v="Sala Servidores - Aire 2"/>
        <s v="Sala Servidores - Aire 3"/>
        <s v="Sala gerencia"/>
        <s v="Sr Jaume suelo pared"/>
        <s v="Firmadora"/>
        <s v="Sala consejo 1"/>
        <s v="Sala consejo 2"/>
        <s v="Comedor 1"/>
        <s v="Comedor 2 "/>
        <s v="Mantenimiento"/>
        <s v="Recepción Olivera"/>
        <s v="Seguridad"/>
        <s v="Recepción carretera"/>
        <s v="Sala perfumeria PB"/>
        <s v="Exposición"/>
        <s v="Comedor 1 - entrando derecha"/>
        <s v="Comedor 2 - entrando derecha"/>
        <s v="Cocina"/>
        <m/>
      </sharedItems>
    </cacheField>
    <cacheField name="Pot Calor" numFmtId="0">
      <sharedItems containsBlank="1"/>
    </cacheField>
    <cacheField name="Pot Frio" numFmtId="0">
      <sharedItems containsBlank="1"/>
    </cacheField>
    <cacheField name="Marca/Modelo" numFmtId="0">
      <sharedItems containsBlank="1"/>
    </cacheField>
    <cacheField name="CONDENSADORA" numFmtId="0">
      <sharedItems containsBlank="1" count="27">
        <s v="G"/>
        <s v="F"/>
        <s v="W"/>
        <s v="Z"/>
        <s v="X"/>
        <s v="V"/>
        <s v="C"/>
        <s v="S"/>
        <s v="T"/>
        <s v="U"/>
        <s v="AA"/>
        <s v="B"/>
        <s v="Y"/>
        <s v="O"/>
        <s v="I"/>
        <s v="P"/>
        <s v="Q"/>
        <s v="A"/>
        <s v="L"/>
        <s v="M"/>
        <s v="N"/>
        <s v="J"/>
        <s v="CON1"/>
        <s v="CON2"/>
        <s v="PB1"/>
        <s v="PB4"/>
        <m/>
      </sharedItems>
    </cacheField>
    <cacheField name="LOCALIZACIÓN COND." numFmtId="0">
      <sharedItems containsBlank="1" count="7">
        <s v="Azotea - Detrás"/>
        <s v="Patio Olivera"/>
        <s v="Azotea-Detrás"/>
        <s v="Azotea - Frente"/>
        <s v="Azotea-Otra Porteria"/>
        <m/>
        <s v=""/>
      </sharedItems>
    </cacheField>
    <cacheField name="GAS" numFmtId="0">
      <sharedItems containsBlank="1" count="4">
        <s v="R-410A"/>
        <s v="R-32"/>
        <m/>
        <s v=""/>
      </sharedItems>
    </cacheField>
    <cacheField name="fecha" numFmtId="0">
      <sharedItems containsDate="1" containsBlank="1" containsMixedTypes="1" minDate="2024-07-01T00:00:00" maxDate="2025-06-18T00:00:00" count="6">
        <s v=""/>
        <d v="2025-06-17T00:00:00"/>
        <d v="2024-08-02T00:00:00"/>
        <s v="E - 2025"/>
        <d v="2024-07-01T00:00:0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x v="0"/>
    <x v="0"/>
    <x v="0"/>
    <m/>
    <m/>
    <m/>
    <x v="0"/>
    <x v="0"/>
    <x v="0"/>
    <x v="0"/>
  </r>
  <r>
    <x v="1"/>
    <x v="0"/>
    <x v="1"/>
    <m/>
    <m/>
    <m/>
    <x v="0"/>
    <x v="0"/>
    <x v="0"/>
    <x v="0"/>
  </r>
  <r>
    <x v="2"/>
    <x v="0"/>
    <x v="2"/>
    <m/>
    <m/>
    <m/>
    <x v="0"/>
    <x v="0"/>
    <x v="0"/>
    <x v="0"/>
  </r>
  <r>
    <x v="2"/>
    <x v="0"/>
    <x v="3"/>
    <m/>
    <m/>
    <m/>
    <x v="0"/>
    <x v="0"/>
    <x v="0"/>
    <x v="0"/>
  </r>
  <r>
    <x v="3"/>
    <x v="0"/>
    <x v="4"/>
    <m/>
    <m/>
    <m/>
    <x v="0"/>
    <x v="0"/>
    <x v="0"/>
    <x v="0"/>
  </r>
  <r>
    <x v="4"/>
    <x v="0"/>
    <x v="5"/>
    <m/>
    <m/>
    <m/>
    <x v="0"/>
    <x v="0"/>
    <x v="0"/>
    <x v="0"/>
  </r>
  <r>
    <x v="5"/>
    <x v="0"/>
    <x v="6"/>
    <m/>
    <m/>
    <m/>
    <x v="1"/>
    <x v="0"/>
    <x v="0"/>
    <x v="0"/>
  </r>
  <r>
    <x v="5"/>
    <x v="0"/>
    <x v="7"/>
    <m/>
    <m/>
    <m/>
    <x v="0"/>
    <x v="0"/>
    <x v="0"/>
    <x v="0"/>
  </r>
  <r>
    <x v="6"/>
    <x v="0"/>
    <x v="8"/>
    <m/>
    <m/>
    <m/>
    <x v="0"/>
    <x v="0"/>
    <x v="0"/>
    <x v="0"/>
  </r>
  <r>
    <x v="7"/>
    <x v="0"/>
    <x v="9"/>
    <m/>
    <m/>
    <m/>
    <x v="0"/>
    <x v="0"/>
    <x v="0"/>
    <x v="0"/>
  </r>
  <r>
    <x v="8"/>
    <x v="0"/>
    <x v="10"/>
    <m/>
    <m/>
    <m/>
    <x v="0"/>
    <x v="0"/>
    <x v="0"/>
    <x v="0"/>
  </r>
  <r>
    <x v="9"/>
    <x v="0"/>
    <x v="11"/>
    <m/>
    <m/>
    <m/>
    <x v="1"/>
    <x v="0"/>
    <x v="0"/>
    <x v="0"/>
  </r>
  <r>
    <x v="10"/>
    <x v="0"/>
    <x v="10"/>
    <m/>
    <m/>
    <m/>
    <x v="1"/>
    <x v="0"/>
    <x v="0"/>
    <x v="0"/>
  </r>
  <r>
    <x v="11"/>
    <x v="0"/>
    <x v="12"/>
    <m/>
    <m/>
    <m/>
    <x v="1"/>
    <x v="0"/>
    <x v="0"/>
    <x v="0"/>
  </r>
  <r>
    <x v="12"/>
    <x v="0"/>
    <x v="13"/>
    <m/>
    <m/>
    <m/>
    <x v="2"/>
    <x v="1"/>
    <x v="1"/>
    <x v="0"/>
  </r>
  <r>
    <x v="13"/>
    <x v="0"/>
    <x v="14"/>
    <s v="37,5 kw"/>
    <s v="33,5 kw"/>
    <s v="PUMY-P300YBM2"/>
    <x v="3"/>
    <x v="0"/>
    <x v="0"/>
    <x v="1"/>
  </r>
  <r>
    <x v="14"/>
    <x v="0"/>
    <x v="15"/>
    <s v="37,5 kw"/>
    <s v="33,5 kw"/>
    <s v="PUMY-P300YBM2"/>
    <x v="3"/>
    <x v="0"/>
    <x v="0"/>
    <x v="1"/>
  </r>
  <r>
    <x v="15"/>
    <x v="0"/>
    <x v="16"/>
    <s v="37,5 kw"/>
    <s v="33,5 kw"/>
    <s v="PUMY-P300YBM2"/>
    <x v="3"/>
    <x v="0"/>
    <x v="0"/>
    <x v="1"/>
  </r>
  <r>
    <x v="16"/>
    <x v="0"/>
    <x v="17"/>
    <s v="37,5 kw"/>
    <s v="33,5 kw"/>
    <s v="PUMY-P300YBM2"/>
    <x v="3"/>
    <x v="0"/>
    <x v="0"/>
    <x v="1"/>
  </r>
  <r>
    <x v="17"/>
    <x v="0"/>
    <x v="18"/>
    <s v="37,5 kw"/>
    <s v="33,5 kw"/>
    <s v="PUMY-P300YBM2"/>
    <x v="3"/>
    <x v="0"/>
    <x v="0"/>
    <x v="1"/>
  </r>
  <r>
    <x v="18"/>
    <x v="0"/>
    <x v="19"/>
    <m/>
    <m/>
    <m/>
    <x v="4"/>
    <x v="2"/>
    <x v="0"/>
    <x v="2"/>
  </r>
  <r>
    <x v="19"/>
    <x v="0"/>
    <x v="20"/>
    <m/>
    <m/>
    <m/>
    <x v="5"/>
    <x v="1"/>
    <x v="0"/>
    <x v="3"/>
  </r>
  <r>
    <x v="20"/>
    <x v="1"/>
    <x v="21"/>
    <m/>
    <m/>
    <m/>
    <x v="6"/>
    <x v="0"/>
    <x v="0"/>
    <x v="0"/>
  </r>
  <r>
    <x v="21"/>
    <x v="1"/>
    <x v="22"/>
    <m/>
    <m/>
    <m/>
    <x v="6"/>
    <x v="0"/>
    <x v="0"/>
    <x v="0"/>
  </r>
  <r>
    <x v="22"/>
    <x v="1"/>
    <x v="23"/>
    <m/>
    <m/>
    <m/>
    <x v="6"/>
    <x v="0"/>
    <x v="0"/>
    <x v="0"/>
  </r>
  <r>
    <x v="23"/>
    <x v="1"/>
    <x v="24"/>
    <m/>
    <m/>
    <m/>
    <x v="6"/>
    <x v="0"/>
    <x v="0"/>
    <x v="0"/>
  </r>
  <r>
    <x v="24"/>
    <x v="1"/>
    <x v="25"/>
    <m/>
    <m/>
    <m/>
    <x v="6"/>
    <x v="0"/>
    <x v="0"/>
    <x v="0"/>
  </r>
  <r>
    <x v="25"/>
    <x v="1"/>
    <x v="26"/>
    <m/>
    <m/>
    <m/>
    <x v="6"/>
    <x v="0"/>
    <x v="0"/>
    <x v="0"/>
  </r>
  <r>
    <x v="26"/>
    <x v="1"/>
    <x v="27"/>
    <m/>
    <m/>
    <m/>
    <x v="6"/>
    <x v="0"/>
    <x v="0"/>
    <x v="0"/>
  </r>
  <r>
    <x v="27"/>
    <x v="1"/>
    <x v="28"/>
    <m/>
    <m/>
    <m/>
    <x v="6"/>
    <x v="0"/>
    <x v="0"/>
    <x v="0"/>
  </r>
  <r>
    <x v="12"/>
    <x v="1"/>
    <x v="29"/>
    <m/>
    <m/>
    <m/>
    <x v="6"/>
    <x v="0"/>
    <x v="0"/>
    <x v="0"/>
  </r>
  <r>
    <x v="28"/>
    <x v="1"/>
    <x v="30"/>
    <m/>
    <m/>
    <m/>
    <x v="6"/>
    <x v="0"/>
    <x v="0"/>
    <x v="0"/>
  </r>
  <r>
    <x v="29"/>
    <x v="1"/>
    <x v="31"/>
    <m/>
    <m/>
    <m/>
    <x v="6"/>
    <x v="0"/>
    <x v="0"/>
    <x v="0"/>
  </r>
  <r>
    <x v="30"/>
    <x v="1"/>
    <x v="32"/>
    <m/>
    <m/>
    <m/>
    <x v="6"/>
    <x v="0"/>
    <x v="0"/>
    <x v="0"/>
  </r>
  <r>
    <x v="31"/>
    <x v="1"/>
    <x v="33"/>
    <s v="37,5 kw"/>
    <s v="33,5 kw"/>
    <s v="PUMY-P300YBM2"/>
    <x v="3"/>
    <x v="0"/>
    <x v="0"/>
    <x v="1"/>
  </r>
  <r>
    <x v="32"/>
    <x v="1"/>
    <x v="34"/>
    <m/>
    <m/>
    <m/>
    <x v="4"/>
    <x v="2"/>
    <x v="0"/>
    <x v="2"/>
  </r>
  <r>
    <x v="33"/>
    <x v="1"/>
    <x v="35"/>
    <m/>
    <m/>
    <m/>
    <x v="7"/>
    <x v="3"/>
    <x v="0"/>
    <x v="0"/>
  </r>
  <r>
    <x v="34"/>
    <x v="1"/>
    <x v="24"/>
    <m/>
    <m/>
    <m/>
    <x v="8"/>
    <x v="3"/>
    <x v="0"/>
    <x v="0"/>
  </r>
  <r>
    <x v="35"/>
    <x v="1"/>
    <x v="36"/>
    <m/>
    <m/>
    <m/>
    <x v="9"/>
    <x v="3"/>
    <x v="0"/>
    <x v="0"/>
  </r>
  <r>
    <x v="36"/>
    <x v="1"/>
    <x v="37"/>
    <m/>
    <m/>
    <m/>
    <x v="4"/>
    <x v="2"/>
    <x v="0"/>
    <x v="2"/>
  </r>
  <r>
    <x v="37"/>
    <x v="2"/>
    <x v="38"/>
    <s v="33,5 kw"/>
    <s v="33,5 kw"/>
    <s v="PURY-P300YNWa2"/>
    <x v="10"/>
    <x v="4"/>
    <x v="0"/>
    <x v="1"/>
  </r>
  <r>
    <x v="38"/>
    <x v="2"/>
    <x v="39"/>
    <s v="33,5 kw"/>
    <s v="33,5 kw"/>
    <s v="PURY-P300YNWa2"/>
    <x v="10"/>
    <x v="4"/>
    <x v="0"/>
    <x v="1"/>
  </r>
  <r>
    <x v="39"/>
    <x v="2"/>
    <x v="40"/>
    <s v="33,5 kw"/>
    <s v="33,5 kw"/>
    <s v="PURY-P300YNWa2"/>
    <x v="10"/>
    <x v="4"/>
    <x v="0"/>
    <x v="1"/>
  </r>
  <r>
    <x v="40"/>
    <x v="2"/>
    <x v="41"/>
    <s v="33,5 kw"/>
    <s v="33,5 kw"/>
    <s v="PURY-P300YNWa2"/>
    <x v="10"/>
    <x v="4"/>
    <x v="0"/>
    <x v="1"/>
  </r>
  <r>
    <x v="41"/>
    <x v="2"/>
    <x v="42"/>
    <s v="33,5 kw"/>
    <s v="33,5 kw"/>
    <s v="PURY-P300YNWa2"/>
    <x v="10"/>
    <x v="4"/>
    <x v="0"/>
    <x v="1"/>
  </r>
  <r>
    <x v="42"/>
    <x v="2"/>
    <x v="43"/>
    <s v="33,5 kw"/>
    <s v="33,5 kw"/>
    <s v="PURY-P300YNWa2"/>
    <x v="10"/>
    <x v="4"/>
    <x v="0"/>
    <x v="1"/>
  </r>
  <r>
    <x v="8"/>
    <x v="2"/>
    <x v="44"/>
    <m/>
    <m/>
    <m/>
    <x v="11"/>
    <x v="0"/>
    <x v="0"/>
    <x v="0"/>
  </r>
  <r>
    <x v="9"/>
    <x v="2"/>
    <x v="45"/>
    <m/>
    <m/>
    <m/>
    <x v="11"/>
    <x v="0"/>
    <x v="0"/>
    <x v="0"/>
  </r>
  <r>
    <x v="10"/>
    <x v="2"/>
    <x v="46"/>
    <m/>
    <m/>
    <m/>
    <x v="11"/>
    <x v="0"/>
    <x v="0"/>
    <x v="0"/>
  </r>
  <r>
    <x v="43"/>
    <x v="2"/>
    <x v="47"/>
    <m/>
    <m/>
    <m/>
    <x v="11"/>
    <x v="0"/>
    <x v="0"/>
    <x v="0"/>
  </r>
  <r>
    <x v="11"/>
    <x v="2"/>
    <x v="48"/>
    <m/>
    <m/>
    <m/>
    <x v="11"/>
    <x v="0"/>
    <x v="0"/>
    <x v="0"/>
  </r>
  <r>
    <x v="44"/>
    <x v="2"/>
    <x v="49"/>
    <m/>
    <m/>
    <m/>
    <x v="11"/>
    <x v="0"/>
    <x v="0"/>
    <x v="0"/>
  </r>
  <r>
    <x v="45"/>
    <x v="2"/>
    <x v="50"/>
    <m/>
    <m/>
    <m/>
    <x v="11"/>
    <x v="0"/>
    <x v="0"/>
    <x v="0"/>
  </r>
  <r>
    <x v="46"/>
    <x v="2"/>
    <x v="51"/>
    <m/>
    <m/>
    <m/>
    <x v="11"/>
    <x v="0"/>
    <x v="0"/>
    <x v="0"/>
  </r>
  <r>
    <x v="47"/>
    <x v="2"/>
    <x v="52"/>
    <m/>
    <m/>
    <m/>
    <x v="11"/>
    <x v="0"/>
    <x v="0"/>
    <x v="0"/>
  </r>
  <r>
    <x v="48"/>
    <x v="2"/>
    <x v="53"/>
    <m/>
    <m/>
    <m/>
    <x v="11"/>
    <x v="0"/>
    <x v="0"/>
    <x v="0"/>
  </r>
  <r>
    <x v="49"/>
    <x v="2"/>
    <x v="54"/>
    <m/>
    <m/>
    <m/>
    <x v="12"/>
    <x v="0"/>
    <x v="0"/>
    <x v="1"/>
  </r>
  <r>
    <x v="50"/>
    <x v="2"/>
    <x v="55"/>
    <m/>
    <m/>
    <m/>
    <x v="12"/>
    <x v="0"/>
    <x v="0"/>
    <x v="1"/>
  </r>
  <r>
    <x v="51"/>
    <x v="2"/>
    <x v="56"/>
    <m/>
    <m/>
    <m/>
    <x v="12"/>
    <x v="0"/>
    <x v="0"/>
    <x v="1"/>
  </r>
  <r>
    <x v="27"/>
    <x v="2"/>
    <x v="57"/>
    <m/>
    <m/>
    <m/>
    <x v="13"/>
    <x v="3"/>
    <x v="1"/>
    <x v="0"/>
  </r>
  <r>
    <x v="28"/>
    <x v="2"/>
    <x v="58"/>
    <s v="33,5 kw"/>
    <s v="33,5 kw"/>
    <s v="PURY-P300YNWa2"/>
    <x v="10"/>
    <x v="4"/>
    <x v="0"/>
    <x v="1"/>
  </r>
  <r>
    <x v="29"/>
    <x v="2"/>
    <x v="59"/>
    <s v="33,5 kw"/>
    <s v="33,5 kw"/>
    <s v="PURY-P300YNWa2"/>
    <x v="10"/>
    <x v="4"/>
    <x v="0"/>
    <x v="1"/>
  </r>
  <r>
    <x v="52"/>
    <x v="2"/>
    <x v="60"/>
    <m/>
    <m/>
    <m/>
    <x v="14"/>
    <x v="0"/>
    <x v="0"/>
    <x v="0"/>
  </r>
  <r>
    <x v="53"/>
    <x v="2"/>
    <x v="61"/>
    <m/>
    <m/>
    <m/>
    <x v="15"/>
    <x v="3"/>
    <x v="1"/>
    <x v="0"/>
  </r>
  <r>
    <x v="54"/>
    <x v="2"/>
    <x v="62"/>
    <m/>
    <m/>
    <m/>
    <x v="16"/>
    <x v="3"/>
    <x v="1"/>
    <x v="0"/>
  </r>
  <r>
    <x v="55"/>
    <x v="2"/>
    <x v="63"/>
    <m/>
    <m/>
    <m/>
    <x v="12"/>
    <x v="0"/>
    <x v="0"/>
    <x v="1"/>
  </r>
  <r>
    <x v="55"/>
    <x v="2"/>
    <x v="63"/>
    <m/>
    <m/>
    <m/>
    <x v="12"/>
    <x v="0"/>
    <x v="0"/>
    <x v="1"/>
  </r>
  <r>
    <x v="55"/>
    <x v="2"/>
    <x v="63"/>
    <m/>
    <m/>
    <m/>
    <x v="12"/>
    <x v="0"/>
    <x v="0"/>
    <x v="1"/>
  </r>
  <r>
    <x v="39"/>
    <x v="3"/>
    <x v="64"/>
    <m/>
    <m/>
    <m/>
    <x v="17"/>
    <x v="0"/>
    <x v="0"/>
    <x v="0"/>
  </r>
  <r>
    <x v="40"/>
    <x v="3"/>
    <x v="64"/>
    <m/>
    <m/>
    <m/>
    <x v="17"/>
    <x v="0"/>
    <x v="0"/>
    <x v="0"/>
  </r>
  <r>
    <x v="41"/>
    <x v="3"/>
    <x v="64"/>
    <m/>
    <m/>
    <m/>
    <x v="17"/>
    <x v="0"/>
    <x v="0"/>
    <x v="0"/>
  </r>
  <r>
    <x v="42"/>
    <x v="3"/>
    <x v="65"/>
    <m/>
    <m/>
    <m/>
    <x v="17"/>
    <x v="0"/>
    <x v="0"/>
    <x v="0"/>
  </r>
  <r>
    <x v="56"/>
    <x v="3"/>
    <x v="66"/>
    <m/>
    <m/>
    <m/>
    <x v="17"/>
    <x v="0"/>
    <x v="0"/>
    <x v="0"/>
  </r>
  <r>
    <x v="57"/>
    <x v="3"/>
    <x v="67"/>
    <m/>
    <m/>
    <m/>
    <x v="17"/>
    <x v="0"/>
    <x v="0"/>
    <x v="0"/>
  </r>
  <r>
    <x v="0"/>
    <x v="3"/>
    <x v="68"/>
    <m/>
    <m/>
    <m/>
    <x v="17"/>
    <x v="0"/>
    <x v="0"/>
    <x v="0"/>
  </r>
  <r>
    <x v="1"/>
    <x v="3"/>
    <x v="69"/>
    <m/>
    <m/>
    <m/>
    <x v="17"/>
    <x v="0"/>
    <x v="0"/>
    <x v="0"/>
  </r>
  <r>
    <x v="2"/>
    <x v="3"/>
    <x v="70"/>
    <m/>
    <m/>
    <m/>
    <x v="17"/>
    <x v="0"/>
    <x v="0"/>
    <x v="0"/>
  </r>
  <r>
    <x v="3"/>
    <x v="3"/>
    <x v="71"/>
    <m/>
    <m/>
    <m/>
    <x v="17"/>
    <x v="0"/>
    <x v="0"/>
    <x v="0"/>
  </r>
  <r>
    <x v="4"/>
    <x v="3"/>
    <x v="72"/>
    <m/>
    <m/>
    <m/>
    <x v="17"/>
    <x v="0"/>
    <x v="0"/>
    <x v="0"/>
  </r>
  <r>
    <x v="5"/>
    <x v="3"/>
    <x v="73"/>
    <m/>
    <m/>
    <m/>
    <x v="17"/>
    <x v="0"/>
    <x v="0"/>
    <x v="0"/>
  </r>
  <r>
    <x v="6"/>
    <x v="3"/>
    <x v="74"/>
    <m/>
    <m/>
    <m/>
    <x v="17"/>
    <x v="0"/>
    <x v="0"/>
    <x v="0"/>
  </r>
  <r>
    <x v="21"/>
    <x v="3"/>
    <x v="75"/>
    <m/>
    <m/>
    <m/>
    <x v="18"/>
    <x v="3"/>
    <x v="0"/>
    <x v="0"/>
  </r>
  <r>
    <x v="22"/>
    <x v="3"/>
    <x v="76"/>
    <m/>
    <m/>
    <m/>
    <x v="19"/>
    <x v="3"/>
    <x v="0"/>
    <x v="0"/>
  </r>
  <r>
    <x v="23"/>
    <x v="3"/>
    <x v="77"/>
    <m/>
    <m/>
    <m/>
    <x v="20"/>
    <x v="3"/>
    <x v="0"/>
    <x v="0"/>
  </r>
  <r>
    <x v="58"/>
    <x v="3"/>
    <x v="78"/>
    <m/>
    <m/>
    <m/>
    <x v="14"/>
    <x v="0"/>
    <x v="0"/>
    <x v="0"/>
  </r>
  <r>
    <x v="59"/>
    <x v="3"/>
    <x v="79"/>
    <m/>
    <m/>
    <m/>
    <x v="21"/>
    <x v="3"/>
    <x v="0"/>
    <x v="0"/>
  </r>
  <r>
    <x v="60"/>
    <x v="3"/>
    <x v="80"/>
    <m/>
    <m/>
    <m/>
    <x v="4"/>
    <x v="2"/>
    <x v="0"/>
    <x v="2"/>
  </r>
  <r>
    <x v="61"/>
    <x v="3"/>
    <x v="81"/>
    <m/>
    <m/>
    <m/>
    <x v="22"/>
    <x v="0"/>
    <x v="1"/>
    <x v="0"/>
  </r>
  <r>
    <x v="62"/>
    <x v="3"/>
    <x v="82"/>
    <m/>
    <m/>
    <m/>
    <x v="23"/>
    <x v="0"/>
    <x v="1"/>
    <x v="0"/>
  </r>
  <r>
    <x v="56"/>
    <x v="4"/>
    <x v="83"/>
    <m/>
    <m/>
    <m/>
    <x v="0"/>
    <x v="0"/>
    <x v="0"/>
    <x v="0"/>
  </r>
  <r>
    <x v="57"/>
    <x v="4"/>
    <x v="84"/>
    <m/>
    <m/>
    <m/>
    <x v="0"/>
    <x v="0"/>
    <x v="0"/>
    <x v="0"/>
  </r>
  <r>
    <x v="44"/>
    <x v="4"/>
    <x v="85"/>
    <m/>
    <m/>
    <m/>
    <x v="24"/>
    <x v="1"/>
    <x v="0"/>
    <x v="0"/>
  </r>
  <r>
    <x v="45"/>
    <x v="4"/>
    <x v="86"/>
    <m/>
    <m/>
    <m/>
    <x v="24"/>
    <x v="1"/>
    <x v="0"/>
    <x v="0"/>
  </r>
  <r>
    <x v="46"/>
    <x v="4"/>
    <x v="87"/>
    <m/>
    <m/>
    <m/>
    <x v="24"/>
    <x v="1"/>
    <x v="0"/>
    <x v="0"/>
  </r>
  <r>
    <x v="47"/>
    <x v="4"/>
    <x v="88"/>
    <m/>
    <m/>
    <m/>
    <x v="24"/>
    <x v="1"/>
    <x v="0"/>
    <x v="0"/>
  </r>
  <r>
    <x v="48"/>
    <x v="4"/>
    <x v="89"/>
    <m/>
    <m/>
    <m/>
    <x v="24"/>
    <x v="1"/>
    <x v="0"/>
    <x v="0"/>
  </r>
  <r>
    <x v="49"/>
    <x v="4"/>
    <x v="90"/>
    <m/>
    <m/>
    <m/>
    <x v="24"/>
    <x v="1"/>
    <x v="0"/>
    <x v="0"/>
  </r>
  <r>
    <x v="50"/>
    <x v="4"/>
    <x v="90"/>
    <m/>
    <m/>
    <m/>
    <x v="24"/>
    <x v="1"/>
    <x v="0"/>
    <x v="0"/>
  </r>
  <r>
    <x v="51"/>
    <x v="4"/>
    <x v="90"/>
    <m/>
    <m/>
    <m/>
    <x v="24"/>
    <x v="1"/>
    <x v="0"/>
    <x v="0"/>
  </r>
  <r>
    <x v="63"/>
    <x v="4"/>
    <x v="90"/>
    <m/>
    <m/>
    <m/>
    <x v="24"/>
    <x v="1"/>
    <x v="0"/>
    <x v="0"/>
  </r>
  <r>
    <x v="64"/>
    <x v="4"/>
    <x v="90"/>
    <m/>
    <m/>
    <m/>
    <x v="24"/>
    <x v="1"/>
    <x v="0"/>
    <x v="0"/>
  </r>
  <r>
    <x v="20"/>
    <x v="4"/>
    <x v="90"/>
    <m/>
    <m/>
    <m/>
    <x v="24"/>
    <x v="1"/>
    <x v="0"/>
    <x v="0"/>
  </r>
  <r>
    <x v="65"/>
    <x v="4"/>
    <x v="91"/>
    <m/>
    <m/>
    <m/>
    <x v="4"/>
    <x v="2"/>
    <x v="0"/>
    <x v="2"/>
  </r>
  <r>
    <x v="66"/>
    <x v="4"/>
    <x v="92"/>
    <m/>
    <m/>
    <m/>
    <x v="4"/>
    <x v="2"/>
    <x v="0"/>
    <x v="2"/>
  </r>
  <r>
    <x v="67"/>
    <x v="4"/>
    <x v="93"/>
    <m/>
    <m/>
    <m/>
    <x v="25"/>
    <x v="1"/>
    <x v="0"/>
    <x v="4"/>
  </r>
  <r>
    <x v="55"/>
    <x v="5"/>
    <x v="94"/>
    <m/>
    <m/>
    <m/>
    <x v="26"/>
    <x v="5"/>
    <x v="2"/>
    <x v="5"/>
  </r>
  <r>
    <x v="55"/>
    <x v="5"/>
    <x v="94"/>
    <m/>
    <m/>
    <m/>
    <x v="26"/>
    <x v="6"/>
    <x v="3"/>
    <x v="0"/>
  </r>
  <r>
    <x v="55"/>
    <x v="5"/>
    <x v="94"/>
    <m/>
    <m/>
    <m/>
    <x v="26"/>
    <x v="6"/>
    <x v="3"/>
    <x v="0"/>
  </r>
  <r>
    <x v="55"/>
    <x v="5"/>
    <x v="94"/>
    <m/>
    <m/>
    <m/>
    <x v="26"/>
    <x v="6"/>
    <x v="3"/>
    <x v="0"/>
  </r>
  <r>
    <x v="55"/>
    <x v="5"/>
    <x v="94"/>
    <m/>
    <m/>
    <m/>
    <x v="26"/>
    <x v="6"/>
    <x v="3"/>
    <x v="0"/>
  </r>
  <r>
    <x v="55"/>
    <x v="5"/>
    <x v="94"/>
    <m/>
    <m/>
    <m/>
    <x v="26"/>
    <x v="6"/>
    <x v="3"/>
    <x v="0"/>
  </r>
  <r>
    <x v="55"/>
    <x v="5"/>
    <x v="94"/>
    <m/>
    <m/>
    <m/>
    <x v="26"/>
    <x v="6"/>
    <x v="3"/>
    <x v="0"/>
  </r>
  <r>
    <x v="55"/>
    <x v="5"/>
    <x v="94"/>
    <m/>
    <m/>
    <m/>
    <x v="26"/>
    <x v="6"/>
    <x v="3"/>
    <x v="0"/>
  </r>
  <r>
    <x v="55"/>
    <x v="5"/>
    <x v="94"/>
    <m/>
    <m/>
    <m/>
    <x v="26"/>
    <x v="6"/>
    <x v="3"/>
    <x v="0"/>
  </r>
  <r>
    <x v="55"/>
    <x v="5"/>
    <x v="94"/>
    <m/>
    <m/>
    <m/>
    <x v="26"/>
    <x v="6"/>
    <x v="3"/>
    <x v="0"/>
  </r>
  <r>
    <x v="55"/>
    <x v="5"/>
    <x v="94"/>
    <m/>
    <m/>
    <m/>
    <x v="26"/>
    <x v="6"/>
    <x v="3"/>
    <x v="0"/>
  </r>
  <r>
    <x v="55"/>
    <x v="5"/>
    <x v="94"/>
    <m/>
    <m/>
    <m/>
    <x v="26"/>
    <x v="6"/>
    <x v="3"/>
    <x v="0"/>
  </r>
  <r>
    <x v="55"/>
    <x v="5"/>
    <x v="94"/>
    <m/>
    <m/>
    <m/>
    <x v="26"/>
    <x v="6"/>
    <x v="3"/>
    <x v="0"/>
  </r>
  <r>
    <x v="55"/>
    <x v="5"/>
    <x v="94"/>
    <m/>
    <m/>
    <m/>
    <x v="26"/>
    <x v="6"/>
    <x v="3"/>
    <x v="0"/>
  </r>
  <r>
    <x v="55"/>
    <x v="5"/>
    <x v="94"/>
    <m/>
    <m/>
    <m/>
    <x v="26"/>
    <x v="6"/>
    <x v="3"/>
    <x v="0"/>
  </r>
  <r>
    <x v="55"/>
    <x v="5"/>
    <x v="94"/>
    <m/>
    <m/>
    <m/>
    <x v="26"/>
    <x v="6"/>
    <x v="3"/>
    <x v="0"/>
  </r>
  <r>
    <x v="55"/>
    <x v="5"/>
    <x v="94"/>
    <m/>
    <m/>
    <m/>
    <x v="26"/>
    <x v="6"/>
    <x v="3"/>
    <x v="0"/>
  </r>
  <r>
    <x v="55"/>
    <x v="5"/>
    <x v="94"/>
    <m/>
    <m/>
    <m/>
    <x v="26"/>
    <x v="6"/>
    <x v="3"/>
    <x v="0"/>
  </r>
  <r>
    <x v="55"/>
    <x v="5"/>
    <x v="94"/>
    <m/>
    <m/>
    <m/>
    <x v="26"/>
    <x v="5"/>
    <x v="2"/>
    <x v="5"/>
  </r>
  <r>
    <x v="68"/>
    <x v="5"/>
    <x v="94"/>
    <m/>
    <m/>
    <m/>
    <x v="26"/>
    <x v="5"/>
    <x v="2"/>
    <x v="5"/>
  </r>
  <r>
    <x v="69"/>
    <x v="5"/>
    <x v="94"/>
    <m/>
    <m/>
    <m/>
    <x v="26"/>
    <x v="5"/>
    <x v="2"/>
    <x v="5"/>
  </r>
  <r>
    <x v="70"/>
    <x v="5"/>
    <x v="94"/>
    <m/>
    <m/>
    <m/>
    <x v="26"/>
    <x v="5"/>
    <x v="2"/>
    <x v="5"/>
  </r>
  <r>
    <x v="55"/>
    <x v="5"/>
    <x v="94"/>
    <m/>
    <m/>
    <m/>
    <x v="26"/>
    <x v="5"/>
    <x v="2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5264F7-D4C3-4230-A53B-FF97CFFB82CF}" name="TablaDinámica1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mergeItem="1" createdVersion="8" indent="0" compact="0" compactData="0" gridDropZones="1" multipleFieldFilters="0">
  <location ref="A3:J113" firstHeaderRow="1" firstDataRow="2" firstDataCol="6"/>
  <pivotFields count="10">
    <pivotField axis="axisRow" compact="0" outline="0" showAll="0" defaultSubtotal="0">
      <items count="71">
        <item x="39"/>
        <item x="40"/>
        <item x="41"/>
        <item x="42"/>
        <item x="56"/>
        <item x="57"/>
        <item x="0"/>
        <item x="1"/>
        <item x="2"/>
        <item x="3"/>
        <item x="4"/>
        <item x="5"/>
        <item x="6"/>
        <item x="21"/>
        <item x="22"/>
        <item x="23"/>
        <item x="55"/>
        <item x="8"/>
        <item x="10"/>
        <item x="43"/>
        <item x="11"/>
        <item x="44"/>
        <item x="45"/>
        <item x="46"/>
        <item x="47"/>
        <item x="48"/>
        <item x="27"/>
        <item x="20"/>
        <item x="24"/>
        <item x="25"/>
        <item x="26"/>
        <item x="12"/>
        <item x="28"/>
        <item x="29"/>
        <item x="30"/>
        <item x="9"/>
        <item x="49"/>
        <item x="50"/>
        <item x="51"/>
        <item x="63"/>
        <item x="64"/>
        <item x="31"/>
        <item x="13"/>
        <item x="14"/>
        <item x="15"/>
        <item x="16"/>
        <item x="17"/>
        <item x="7"/>
        <item x="58"/>
        <item x="52"/>
        <item x="59"/>
        <item x="60"/>
        <item x="61"/>
        <item x="62"/>
        <item x="53"/>
        <item x="54"/>
        <item x="36"/>
        <item x="32"/>
        <item x="33"/>
        <item x="34"/>
        <item x="35"/>
        <item x="65"/>
        <item x="66"/>
        <item x="67"/>
        <item x="37"/>
        <item x="38"/>
        <item x="18"/>
        <item x="19"/>
        <item x="68"/>
        <item x="69"/>
        <item x="70"/>
      </items>
    </pivotField>
    <pivotField axis="axisRow" dataField="1" compact="0" outline="0" showAll="0" sortType="ascending" defaultSubtotal="0">
      <items count="6">
        <item x="0"/>
        <item x="1"/>
        <item x="2"/>
        <item x="3"/>
        <item x="4"/>
        <item x="5"/>
      </items>
    </pivotField>
    <pivotField axis="axisRow" compact="0" outline="0" showAll="0" defaultSubtotal="0">
      <items count="95">
        <item x="64"/>
        <item x="71"/>
        <item x="72"/>
        <item x="70"/>
        <item x="65"/>
        <item x="60"/>
        <item x="78"/>
        <item x="75"/>
        <item x="76"/>
        <item x="77"/>
        <item x="66"/>
        <item x="68"/>
        <item x="79"/>
        <item x="69"/>
        <item x="67"/>
        <item x="94"/>
        <item x="81"/>
        <item x="82"/>
        <item x="46"/>
        <item x="47"/>
        <item x="48"/>
        <item x="49"/>
        <item x="50"/>
        <item x="52"/>
        <item x="53"/>
        <item x="61"/>
        <item x="62"/>
        <item x="21"/>
        <item x="22"/>
        <item x="25"/>
        <item x="26"/>
        <item x="27"/>
        <item x="28"/>
        <item x="29"/>
        <item x="30"/>
        <item x="31"/>
        <item x="32"/>
        <item x="37"/>
        <item x="24"/>
        <item x="36"/>
        <item x="54"/>
        <item x="55"/>
        <item x="56"/>
        <item x="16"/>
        <item x="23"/>
        <item x="6"/>
        <item x="12"/>
        <item x="11"/>
        <item x="1"/>
        <item x="2"/>
        <item x="4"/>
        <item x="0"/>
        <item x="7"/>
        <item x="8"/>
        <item x="9"/>
        <item x="83"/>
        <item x="84"/>
        <item x="3"/>
        <item x="86"/>
        <item x="87"/>
        <item x="88"/>
        <item x="89"/>
        <item x="90"/>
        <item x="91"/>
        <item x="92"/>
        <item x="93"/>
        <item x="13"/>
        <item x="80"/>
        <item x="19"/>
        <item x="34"/>
        <item x="35"/>
        <item x="33"/>
        <item x="14"/>
        <item x="18"/>
        <item x="10"/>
        <item x="20"/>
        <item x="15"/>
        <item x="63"/>
        <item x="85"/>
        <item x="73"/>
        <item x="74"/>
        <item x="38"/>
        <item x="39"/>
        <item x="40"/>
        <item x="41"/>
        <item x="42"/>
        <item x="43"/>
        <item x="44"/>
        <item x="45"/>
        <item x="51"/>
        <item x="57"/>
        <item x="58"/>
        <item x="59"/>
        <item x="17"/>
        <item x="5"/>
      </items>
    </pivotField>
    <pivotField compact="0" outline="0" showAll="0"/>
    <pivotField compact="0" outline="0" showAll="0"/>
    <pivotField compact="0" outline="0" showAll="0"/>
    <pivotField axis="axisRow" compact="0" outline="0" showAll="0" sortType="ascending" defaultSubtotal="0">
      <items count="27">
        <item x="17"/>
        <item x="10"/>
        <item x="11"/>
        <item x="6"/>
        <item x="22"/>
        <item x="23"/>
        <item x="1"/>
        <item x="0"/>
        <item x="14"/>
        <item x="21"/>
        <item x="18"/>
        <item x="19"/>
        <item x="20"/>
        <item x="13"/>
        <item x="15"/>
        <item n="E" x="24"/>
        <item x="25"/>
        <item x="16"/>
        <item x="7"/>
        <item x="8"/>
        <item x="9"/>
        <item x="5"/>
        <item x="2"/>
        <item x="4"/>
        <item x="12"/>
        <item x="3"/>
        <item x="26"/>
      </items>
    </pivotField>
    <pivotField axis="axisRow" compact="0" outline="0" showAll="0" defaultSubtotal="0">
      <items count="7">
        <item x="6"/>
        <item x="0"/>
        <item x="3"/>
        <item n="Azotea Detras" x="1"/>
        <item x="5"/>
        <item x="2"/>
        <item x="4"/>
      </items>
    </pivotField>
    <pivotField axis="axisCol" compact="0" outline="0" showAll="0">
      <items count="5">
        <item x="3"/>
        <item x="0"/>
        <item x="1"/>
        <item x="2"/>
        <item t="default"/>
      </items>
    </pivotField>
    <pivotField axis="axisRow" compact="0" outline="0" showAll="0" defaultSubtotal="0">
      <items count="6">
        <item n="01/01/2007" x="0"/>
        <item x="4"/>
        <item x="2"/>
        <item x="1"/>
        <item x="5"/>
        <item x="3"/>
      </items>
    </pivotField>
  </pivotFields>
  <rowFields count="6">
    <field x="6"/>
    <field x="9"/>
    <field x="1"/>
    <field x="7"/>
    <field x="0"/>
    <field x="2"/>
  </rowFields>
  <rowItems count="109">
    <i>
      <x/>
      <x/>
      <x v="3"/>
      <x v="1"/>
      <x/>
      <x/>
    </i>
    <i r="4">
      <x v="1"/>
      <x/>
    </i>
    <i r="4">
      <x v="2"/>
      <x/>
    </i>
    <i r="4">
      <x v="3"/>
      <x v="4"/>
    </i>
    <i r="4">
      <x v="4"/>
      <x v="10"/>
    </i>
    <i r="4">
      <x v="5"/>
      <x v="14"/>
    </i>
    <i r="4">
      <x v="6"/>
      <x v="11"/>
    </i>
    <i r="4">
      <x v="7"/>
      <x v="13"/>
    </i>
    <i r="4">
      <x v="8"/>
      <x v="3"/>
    </i>
    <i r="4">
      <x v="9"/>
      <x v="1"/>
    </i>
    <i r="4">
      <x v="10"/>
      <x v="2"/>
    </i>
    <i r="4">
      <x v="11"/>
      <x v="79"/>
    </i>
    <i r="4">
      <x v="12"/>
      <x v="80"/>
    </i>
    <i>
      <x v="1"/>
      <x v="3"/>
      <x v="2"/>
      <x v="6"/>
      <x/>
      <x v="83"/>
    </i>
    <i r="4">
      <x v="1"/>
      <x v="84"/>
    </i>
    <i r="4">
      <x v="2"/>
      <x v="85"/>
    </i>
    <i r="4">
      <x v="3"/>
      <x v="86"/>
    </i>
    <i r="4">
      <x v="32"/>
      <x v="91"/>
    </i>
    <i r="4">
      <x v="33"/>
      <x v="92"/>
    </i>
    <i r="4">
      <x v="64"/>
      <x v="81"/>
    </i>
    <i r="4">
      <x v="65"/>
      <x v="82"/>
    </i>
    <i>
      <x v="2"/>
      <x/>
      <x v="2"/>
      <x v="1"/>
      <x v="17"/>
      <x v="87"/>
    </i>
    <i r="4">
      <x v="18"/>
      <x v="18"/>
    </i>
    <i r="4">
      <x v="19"/>
      <x v="19"/>
    </i>
    <i r="4">
      <x v="20"/>
      <x v="20"/>
    </i>
    <i r="4">
      <x v="21"/>
      <x v="21"/>
    </i>
    <i r="4">
      <x v="22"/>
      <x v="22"/>
    </i>
    <i r="4">
      <x v="23"/>
      <x v="89"/>
    </i>
    <i r="4">
      <x v="24"/>
      <x v="23"/>
    </i>
    <i r="4">
      <x v="25"/>
      <x v="24"/>
    </i>
    <i r="4">
      <x v="35"/>
      <x v="88"/>
    </i>
    <i>
      <x v="3"/>
      <x/>
      <x v="1"/>
      <x v="1"/>
      <x v="13"/>
      <x v="28"/>
    </i>
    <i r="4">
      <x v="14"/>
      <x v="44"/>
    </i>
    <i r="4">
      <x v="15"/>
      <x v="38"/>
    </i>
    <i r="4">
      <x v="26"/>
      <x v="32"/>
    </i>
    <i r="4">
      <x v="27"/>
      <x v="27"/>
    </i>
    <i r="4">
      <x v="28"/>
      <x v="29"/>
    </i>
    <i r="4">
      <x v="29"/>
      <x v="30"/>
    </i>
    <i r="4">
      <x v="30"/>
      <x v="31"/>
    </i>
    <i r="4">
      <x v="31"/>
      <x v="33"/>
    </i>
    <i r="4">
      <x v="32"/>
      <x v="34"/>
    </i>
    <i r="4">
      <x v="33"/>
      <x v="35"/>
    </i>
    <i r="4">
      <x v="34"/>
      <x v="36"/>
    </i>
    <i>
      <x v="4"/>
      <x/>
      <x v="3"/>
      <x v="1"/>
      <x v="52"/>
      <x v="16"/>
    </i>
    <i>
      <x v="5"/>
      <x/>
      <x v="3"/>
      <x v="1"/>
      <x v="53"/>
      <x v="17"/>
    </i>
    <i>
      <x v="6"/>
      <x/>
      <x/>
      <x v="1"/>
      <x v="11"/>
      <x v="45"/>
    </i>
    <i r="4">
      <x v="18"/>
      <x v="74"/>
    </i>
    <i r="4">
      <x v="20"/>
      <x v="46"/>
    </i>
    <i r="4">
      <x v="35"/>
      <x v="47"/>
    </i>
    <i>
      <x v="7"/>
      <x/>
      <x/>
      <x v="1"/>
      <x v="6"/>
      <x v="51"/>
    </i>
    <i r="4">
      <x v="7"/>
      <x v="48"/>
    </i>
    <i r="4">
      <x v="8"/>
      <x v="49"/>
    </i>
    <i r="5">
      <x v="57"/>
    </i>
    <i r="4">
      <x v="9"/>
      <x v="50"/>
    </i>
    <i r="4">
      <x v="10"/>
      <x v="94"/>
    </i>
    <i r="4">
      <x v="11"/>
      <x v="52"/>
    </i>
    <i r="4">
      <x v="12"/>
      <x v="53"/>
    </i>
    <i r="4">
      <x v="17"/>
      <x v="74"/>
    </i>
    <i r="4">
      <x v="47"/>
      <x v="54"/>
    </i>
    <i r="2">
      <x v="4"/>
      <x v="1"/>
      <x v="4"/>
      <x v="55"/>
    </i>
    <i r="4">
      <x v="5"/>
      <x v="56"/>
    </i>
    <i>
      <x v="8"/>
      <x/>
      <x v="2"/>
      <x v="1"/>
      <x v="49"/>
      <x v="5"/>
    </i>
    <i r="2">
      <x v="3"/>
      <x v="1"/>
      <x v="48"/>
      <x v="6"/>
    </i>
    <i>
      <x v="9"/>
      <x/>
      <x v="3"/>
      <x v="2"/>
      <x v="50"/>
      <x v="12"/>
    </i>
    <i>
      <x v="10"/>
      <x/>
      <x v="3"/>
      <x v="2"/>
      <x v="13"/>
      <x v="7"/>
    </i>
    <i>
      <x v="11"/>
      <x/>
      <x v="3"/>
      <x v="2"/>
      <x v="14"/>
      <x v="8"/>
    </i>
    <i>
      <x v="12"/>
      <x/>
      <x v="3"/>
      <x v="2"/>
      <x v="15"/>
      <x v="9"/>
    </i>
    <i>
      <x v="13"/>
      <x/>
      <x v="2"/>
      <x v="2"/>
      <x v="26"/>
      <x v="90"/>
    </i>
    <i>
      <x v="14"/>
      <x/>
      <x v="2"/>
      <x v="2"/>
      <x v="54"/>
      <x v="25"/>
    </i>
    <i>
      <x v="15"/>
      <x/>
      <x v="4"/>
      <x v="3"/>
      <x v="21"/>
      <x v="78"/>
    </i>
    <i r="4">
      <x v="22"/>
      <x v="58"/>
    </i>
    <i r="4">
      <x v="23"/>
      <x v="59"/>
    </i>
    <i r="4">
      <x v="24"/>
      <x v="60"/>
    </i>
    <i r="4">
      <x v="25"/>
      <x v="61"/>
    </i>
    <i r="4">
      <x v="27"/>
      <x v="62"/>
    </i>
    <i r="4">
      <x v="36"/>
      <x v="62"/>
    </i>
    <i r="4">
      <x v="37"/>
      <x v="62"/>
    </i>
    <i r="4">
      <x v="38"/>
      <x v="62"/>
    </i>
    <i r="4">
      <x v="39"/>
      <x v="62"/>
    </i>
    <i r="4">
      <x v="40"/>
      <x v="62"/>
    </i>
    <i>
      <x v="16"/>
      <x v="1"/>
      <x v="4"/>
      <x v="3"/>
      <x v="63"/>
      <x v="65"/>
    </i>
    <i>
      <x v="17"/>
      <x/>
      <x v="2"/>
      <x v="2"/>
      <x v="55"/>
      <x v="26"/>
    </i>
    <i>
      <x v="18"/>
      <x/>
      <x v="1"/>
      <x v="2"/>
      <x v="58"/>
      <x v="70"/>
    </i>
    <i>
      <x v="19"/>
      <x/>
      <x v="1"/>
      <x v="2"/>
      <x v="59"/>
      <x v="38"/>
    </i>
    <i>
      <x v="20"/>
      <x/>
      <x v="1"/>
      <x v="2"/>
      <x v="60"/>
      <x v="39"/>
    </i>
    <i>
      <x v="21"/>
      <x v="5"/>
      <x/>
      <x v="3"/>
      <x v="67"/>
      <x v="75"/>
    </i>
    <i>
      <x v="22"/>
      <x/>
      <x/>
      <x v="3"/>
      <x v="31"/>
      <x v="66"/>
    </i>
    <i>
      <x v="23"/>
      <x v="2"/>
      <x/>
      <x v="5"/>
      <x v="66"/>
      <x v="68"/>
    </i>
    <i r="2">
      <x v="1"/>
      <x v="5"/>
      <x v="56"/>
      <x v="37"/>
    </i>
    <i r="4">
      <x v="57"/>
      <x v="69"/>
    </i>
    <i r="2">
      <x v="3"/>
      <x v="5"/>
      <x v="51"/>
      <x v="67"/>
    </i>
    <i r="2">
      <x v="4"/>
      <x v="5"/>
      <x v="61"/>
      <x v="63"/>
    </i>
    <i r="4">
      <x v="62"/>
      <x v="64"/>
    </i>
    <i>
      <x v="24"/>
      <x v="3"/>
      <x v="2"/>
      <x v="1"/>
      <x v="16"/>
      <x v="77"/>
    </i>
    <i r="4">
      <x v="36"/>
      <x v="40"/>
    </i>
    <i r="4">
      <x v="37"/>
      <x v="41"/>
    </i>
    <i r="4">
      <x v="38"/>
      <x v="42"/>
    </i>
    <i>
      <x v="25"/>
      <x v="3"/>
      <x/>
      <x v="1"/>
      <x v="42"/>
      <x v="72"/>
    </i>
    <i r="4">
      <x v="43"/>
      <x v="76"/>
    </i>
    <i r="4">
      <x v="44"/>
      <x v="43"/>
    </i>
    <i r="4">
      <x v="45"/>
      <x v="93"/>
    </i>
    <i r="4">
      <x v="46"/>
      <x v="73"/>
    </i>
    <i r="2">
      <x v="1"/>
      <x v="1"/>
      <x v="41"/>
      <x v="71"/>
    </i>
    <i>
      <x v="26"/>
      <x/>
      <x v="5"/>
      <x/>
      <x v="16"/>
      <x v="15"/>
    </i>
    <i r="1">
      <x v="4"/>
      <x v="5"/>
      <x v="4"/>
      <x v="16"/>
      <x v="15"/>
    </i>
    <i r="4">
      <x v="68"/>
      <x v="15"/>
    </i>
    <i r="4">
      <x v="69"/>
      <x v="15"/>
    </i>
    <i r="4">
      <x v="70"/>
      <x v="15"/>
    </i>
    <i t="grand">
      <x/>
    </i>
  </rowItems>
  <colFields count="1">
    <field x="8"/>
  </colFields>
  <colItems count="4">
    <i>
      <x/>
    </i>
    <i>
      <x v="1"/>
    </i>
    <i>
      <x v="2"/>
    </i>
    <i>
      <x v="3"/>
    </i>
  </colItems>
  <dataFields count="1">
    <dataField name="Cuenta de Planta" fld="1" subtotal="count" baseField="0" baseItem="0"/>
  </dataFields>
  <formats count="39">
    <format dxfId="38">
      <pivotArea outline="0" collapsedLevelsAreSubtotals="1" fieldPosition="0"/>
    </format>
    <format dxfId="37">
      <pivotArea dataOnly="0" labelOnly="1" outline="0" fieldPosition="0">
        <references count="1">
          <reference field="6" count="0"/>
        </references>
      </pivotArea>
    </format>
    <format dxfId="36">
      <pivotArea dataOnly="0" labelOnly="1" grandRow="1" outline="0" fieldPosition="0"/>
    </format>
    <format dxfId="35">
      <pivotArea dataOnly="0" labelOnly="1" outline="0" fieldPosition="0">
        <references count="2">
          <reference field="6" count="1" selected="0">
            <x v="0"/>
          </reference>
          <reference field="7" count="1">
            <x v="1"/>
          </reference>
        </references>
      </pivotArea>
    </format>
    <format dxfId="34">
      <pivotArea dataOnly="0" labelOnly="1" outline="0" fieldPosition="0">
        <references count="2">
          <reference field="6" count="1" selected="0">
            <x v="9"/>
          </reference>
          <reference field="7" count="1">
            <x v="2"/>
          </reference>
        </references>
      </pivotArea>
    </format>
    <format dxfId="33">
      <pivotArea dataOnly="0" labelOnly="1" outline="0" fieldPosition="0">
        <references count="2">
          <reference field="6" count="1" selected="0">
            <x v="26"/>
          </reference>
          <reference field="7" count="1">
            <x v="0"/>
          </reference>
        </references>
      </pivotArea>
    </format>
    <format dxfId="32">
      <pivotArea dataOnly="0" labelOnly="1" outline="0" fieldPosition="0">
        <references count="2">
          <reference field="6" count="1" selected="0">
            <x v="4"/>
          </reference>
          <reference field="7" count="1">
            <x v="1"/>
          </reference>
        </references>
      </pivotArea>
    </format>
    <format dxfId="31">
      <pivotArea dataOnly="0" labelOnly="1" outline="0" fieldPosition="0">
        <references count="2">
          <reference field="6" count="1" selected="0">
            <x v="13"/>
          </reference>
          <reference field="7" count="1">
            <x v="2"/>
          </reference>
        </references>
      </pivotArea>
    </format>
    <format dxfId="30">
      <pivotArea dataOnly="0" labelOnly="1" outline="0" fieldPosition="0">
        <references count="2">
          <reference field="6" count="1" selected="0">
            <x v="3"/>
          </reference>
          <reference field="7" count="1">
            <x v="1"/>
          </reference>
        </references>
      </pivotArea>
    </format>
    <format dxfId="29">
      <pivotArea dataOnly="0" labelOnly="1" outline="0" fieldPosition="0">
        <references count="2">
          <reference field="6" count="1" selected="0">
            <x v="18"/>
          </reference>
          <reference field="7" count="1">
            <x v="2"/>
          </reference>
        </references>
      </pivotArea>
    </format>
    <format dxfId="28">
      <pivotArea dataOnly="0" labelOnly="1" outline="0" fieldPosition="0">
        <references count="2">
          <reference field="6" count="1" selected="0">
            <x v="21"/>
          </reference>
          <reference field="7" count="1">
            <x v="3"/>
          </reference>
        </references>
      </pivotArea>
    </format>
    <format dxfId="27">
      <pivotArea dataOnly="0" labelOnly="1" outline="0" fieldPosition="0">
        <references count="3">
          <reference field="1" count="1">
            <x v="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26">
      <pivotArea dataOnly="0" labelOnly="1" outline="0" fieldPosition="0">
        <references count="3">
          <reference field="1" count="1">
            <x v="4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5">
      <pivotArea dataOnly="0" labelOnly="1" outline="0" fieldPosition="0">
        <references count="3">
          <reference field="1" count="1">
            <x v="4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4">
      <pivotArea dataOnly="0" labelOnly="1" outline="0" fieldPosition="0">
        <references count="4">
          <reference field="0" count="1">
            <x v="16"/>
          </reference>
          <reference field="1" count="1" selected="0">
            <x v="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23">
      <pivotArea dataOnly="0" labelOnly="1" outline="0" fieldPosition="0">
        <references count="4">
          <reference field="0" count="2">
            <x v="4"/>
            <x v="5"/>
          </reference>
          <reference field="1" count="1" selected="0">
            <x v="4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2">
      <pivotArea dataOnly="0" labelOnly="1" outline="0" fieldPosition="0">
        <references count="4">
          <reference field="0" count="11">
            <x v="21"/>
            <x v="22"/>
            <x v="23"/>
            <x v="24"/>
            <x v="25"/>
            <x v="27"/>
            <x v="36"/>
            <x v="37"/>
            <x v="38"/>
            <x v="39"/>
            <x v="40"/>
          </reference>
          <reference field="1" count="1" selected="0">
            <x v="4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1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5"/>
          </reference>
          <reference field="2" count="1">
            <x v="1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20">
      <pivotArea dataOnly="0" labelOnly="1" outline="0" fieldPosition="0">
        <references count="5">
          <reference field="0" count="1" selected="0">
            <x v="4"/>
          </reference>
          <reference field="1" count="1" selected="0">
            <x v="4"/>
          </reference>
          <reference field="2" count="1">
            <x v="55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19">
      <pivotArea dataOnly="0" labelOnly="1" outline="0" fieldPosition="0">
        <references count="5">
          <reference field="0" count="1" selected="0">
            <x v="5"/>
          </reference>
          <reference field="1" count="1" selected="0">
            <x v="4"/>
          </reference>
          <reference field="2" count="1">
            <x v="56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18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4"/>
          </reference>
          <reference field="2" count="1">
            <x v="58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17">
      <pivotArea dataOnly="0" labelOnly="1" outline="0" fieldPosition="0">
        <references count="5">
          <reference field="0" count="1" selected="0">
            <x v="23"/>
          </reference>
          <reference field="1" count="1" selected="0">
            <x v="4"/>
          </reference>
          <reference field="2" count="1">
            <x v="59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16">
      <pivotArea dataOnly="0" labelOnly="1" outline="0" fieldPosition="0">
        <references count="5">
          <reference field="0" count="1" selected="0">
            <x v="24"/>
          </reference>
          <reference field="1" count="1" selected="0">
            <x v="4"/>
          </reference>
          <reference field="2" count="1">
            <x v="60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15">
      <pivotArea dataOnly="0" labelOnly="1" outline="0" fieldPosition="0">
        <references count="5">
          <reference field="0" count="1" selected="0">
            <x v="25"/>
          </reference>
          <reference field="1" count="1" selected="0">
            <x v="4"/>
          </reference>
          <reference field="2" count="1">
            <x v="61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14">
      <pivotArea dataOnly="0" labelOnly="1" outline="0" fieldPosition="0">
        <references count="5">
          <reference field="0" count="1" selected="0">
            <x v="27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13">
      <pivotArea dataOnly="0" labelOnly="1" outline="0" fieldPosition="0">
        <references count="5">
          <reference field="0" count="1" selected="0">
            <x v="36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12">
      <pivotArea dataOnly="0" labelOnly="1" outline="0" fieldPosition="0">
        <references count="5">
          <reference field="0" count="1" selected="0">
            <x v="37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11">
      <pivotArea dataOnly="0" labelOnly="1" outline="0" fieldPosition="0">
        <references count="5">
          <reference field="0" count="1" selected="0">
            <x v="38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10">
      <pivotArea dataOnly="0" labelOnly="1" outline="0" fieldPosition="0">
        <references count="5">
          <reference field="0" count="1" selected="0">
            <x v="39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9">
      <pivotArea dataOnly="0" labelOnly="1" outline="0" fieldPosition="0">
        <references count="5">
          <reference field="0" count="1" selected="0">
            <x v="40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8">
      <pivotArea outline="0" collapsedLevelsAreSubtotals="1" fieldPosition="0"/>
    </format>
    <format dxfId="7">
      <pivotArea field="6" type="button" dataOnly="0" labelOnly="1" outline="0" axis="axisRow" fieldPosition="0"/>
    </format>
    <format dxfId="6">
      <pivotArea field="1" type="button" dataOnly="0" labelOnly="1" outline="0" axis="axisRow" fieldPosition="2"/>
    </format>
    <format dxfId="5">
      <pivotArea field="7" type="button" dataOnly="0" labelOnly="1" outline="0" axis="axisRow" fieldPosition="3"/>
    </format>
    <format dxfId="4">
      <pivotArea field="0" type="button" dataOnly="0" labelOnly="1" outline="0" axis="axisRow" fieldPosition="4"/>
    </format>
    <format dxfId="3">
      <pivotArea field="2" type="button" dataOnly="0" labelOnly="1" outline="0" axis="axisRow" fieldPosition="5"/>
    </format>
    <format dxfId="2">
      <pivotArea dataOnly="0" labelOnly="1" outline="0" fieldPosition="0">
        <references count="1">
          <reference field="6" count="0"/>
        </references>
      </pivotArea>
    </format>
    <format dxfId="1">
      <pivotArea dataOnly="0" labelOnly="1" grandRow="1" outline="0" fieldPosition="0"/>
    </format>
    <format dxfId="0">
      <pivotArea dataOnly="0" labelOnly="1" outline="0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32" dT="2026-01-13T11:42:42.73" personId="{0B21064B-D585-4031-A961-87307B4627DB}" id="{7E2F94D3-46A5-468F-8832-FEE4053C771E}">
    <text>@Quim Gil si necesitas algo al movil.. Que tengo que salir de mi sitio</text>
    <mentions>
      <mention mentionpersonId="{E92835D2-3067-498B-BC90-949889E8C6D8}" mentionId="{9489D77D-8496-4782-8DB0-002F5896995E}" startIndex="0" length="9"/>
    </mentions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1B79F-D3F1-47A9-A033-25341B20861E}">
  <dimension ref="A3:J113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I91" sqref="I91"/>
    </sheetView>
  </sheetViews>
  <sheetFormatPr baseColWidth="10" defaultColWidth="11.453125" defaultRowHeight="14.5" x14ac:dyDescent="0.35"/>
  <cols>
    <col min="1" max="1" width="16" customWidth="1"/>
    <col min="2" max="2" width="14" customWidth="1"/>
    <col min="3" max="3" width="23.7265625" hidden="1" customWidth="1"/>
    <col min="4" max="4" width="16.1796875" bestFit="1" customWidth="1"/>
    <col min="5" max="6" width="28.26953125" bestFit="1" customWidth="1"/>
    <col min="7" max="7" width="9.26953125" bestFit="1" customWidth="1"/>
    <col min="8" max="8" width="7.1796875" bestFit="1" customWidth="1"/>
    <col min="9" max="9" width="4.81640625" bestFit="1" customWidth="1"/>
    <col min="10" max="10" width="11" bestFit="1" customWidth="1"/>
    <col min="11" max="11" width="4.54296875" bestFit="1" customWidth="1"/>
    <col min="12" max="13" width="10.26953125" bestFit="1" customWidth="1"/>
  </cols>
  <sheetData>
    <row r="3" spans="1:10" x14ac:dyDescent="0.35">
      <c r="A3" s="10" t="s">
        <v>0</v>
      </c>
      <c r="B3" s="3"/>
      <c r="C3" s="3"/>
      <c r="D3" s="3"/>
      <c r="E3" s="3"/>
      <c r="F3" s="3"/>
      <c r="G3" s="10" t="s">
        <v>1</v>
      </c>
      <c r="H3" s="3"/>
      <c r="I3" s="3"/>
      <c r="J3" s="3"/>
    </row>
    <row r="4" spans="1:10" x14ac:dyDescent="0.35">
      <c r="A4" s="10" t="s">
        <v>2</v>
      </c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1"/>
      <c r="H4" s="11" t="s">
        <v>8</v>
      </c>
      <c r="I4" s="11" t="s">
        <v>9</v>
      </c>
      <c r="J4" s="11" t="s">
        <v>10</v>
      </c>
    </row>
    <row r="5" spans="1:10" x14ac:dyDescent="0.35">
      <c r="A5" s="36" t="s">
        <v>11</v>
      </c>
      <c r="B5" s="33" t="s">
        <v>12</v>
      </c>
      <c r="C5" s="33" t="s">
        <v>13</v>
      </c>
      <c r="D5" s="36" t="s">
        <v>14</v>
      </c>
      <c r="E5" s="11">
        <v>3</v>
      </c>
      <c r="F5" s="11" t="s">
        <v>15</v>
      </c>
      <c r="G5" s="2"/>
      <c r="H5" s="2">
        <v>1</v>
      </c>
      <c r="I5" s="2"/>
      <c r="J5" s="2"/>
    </row>
    <row r="6" spans="1:10" x14ac:dyDescent="0.35">
      <c r="A6" s="37"/>
      <c r="B6" s="34"/>
      <c r="C6" s="34"/>
      <c r="D6" s="37"/>
      <c r="E6" s="11">
        <v>4</v>
      </c>
      <c r="F6" s="11" t="s">
        <v>15</v>
      </c>
      <c r="G6" s="2"/>
      <c r="H6" s="2">
        <v>1</v>
      </c>
      <c r="I6" s="2"/>
      <c r="J6" s="2"/>
    </row>
    <row r="7" spans="1:10" x14ac:dyDescent="0.35">
      <c r="A7" s="37"/>
      <c r="B7" s="34"/>
      <c r="C7" s="34"/>
      <c r="D7" s="37"/>
      <c r="E7" s="11">
        <v>5</v>
      </c>
      <c r="F7" s="11" t="s">
        <v>15</v>
      </c>
      <c r="G7" s="2"/>
      <c r="H7" s="2">
        <v>1</v>
      </c>
      <c r="I7" s="2"/>
      <c r="J7" s="2"/>
    </row>
    <row r="8" spans="1:10" x14ac:dyDescent="0.35">
      <c r="A8" s="37"/>
      <c r="B8" s="34"/>
      <c r="C8" s="34"/>
      <c r="D8" s="37"/>
      <c r="E8" s="11">
        <v>6</v>
      </c>
      <c r="F8" s="11" t="s">
        <v>16</v>
      </c>
      <c r="G8" s="2"/>
      <c r="H8" s="2">
        <v>1</v>
      </c>
      <c r="I8" s="2"/>
      <c r="J8" s="2"/>
    </row>
    <row r="9" spans="1:10" x14ac:dyDescent="0.35">
      <c r="A9" s="37"/>
      <c r="B9" s="34"/>
      <c r="C9" s="34"/>
      <c r="D9" s="37"/>
      <c r="E9" s="11">
        <v>7</v>
      </c>
      <c r="F9" s="11" t="s">
        <v>17</v>
      </c>
      <c r="G9" s="2"/>
      <c r="H9" s="2">
        <v>1</v>
      </c>
      <c r="I9" s="2"/>
      <c r="J9" s="2"/>
    </row>
    <row r="10" spans="1:10" x14ac:dyDescent="0.35">
      <c r="A10" s="37"/>
      <c r="B10" s="34"/>
      <c r="C10" s="34"/>
      <c r="D10" s="37"/>
      <c r="E10" s="11">
        <v>8</v>
      </c>
      <c r="F10" s="11" t="s">
        <v>18</v>
      </c>
      <c r="G10" s="2"/>
      <c r="H10" s="2">
        <v>1</v>
      </c>
      <c r="I10" s="2"/>
      <c r="J10" s="2"/>
    </row>
    <row r="11" spans="1:10" x14ac:dyDescent="0.35">
      <c r="A11" s="37"/>
      <c r="B11" s="34"/>
      <c r="C11" s="34"/>
      <c r="D11" s="37"/>
      <c r="E11" s="11">
        <v>9</v>
      </c>
      <c r="F11" s="11" t="s">
        <v>19</v>
      </c>
      <c r="G11" s="2"/>
      <c r="H11" s="2">
        <v>1</v>
      </c>
      <c r="I11" s="2"/>
      <c r="J11" s="2"/>
    </row>
    <row r="12" spans="1:10" x14ac:dyDescent="0.35">
      <c r="A12" s="37"/>
      <c r="B12" s="34"/>
      <c r="C12" s="34"/>
      <c r="D12" s="37"/>
      <c r="E12" s="11">
        <v>10</v>
      </c>
      <c r="F12" s="11" t="s">
        <v>20</v>
      </c>
      <c r="G12" s="2"/>
      <c r="H12" s="2">
        <v>1</v>
      </c>
      <c r="I12" s="2"/>
      <c r="J12" s="2"/>
    </row>
    <row r="13" spans="1:10" x14ac:dyDescent="0.35">
      <c r="A13" s="37"/>
      <c r="B13" s="34"/>
      <c r="C13" s="34"/>
      <c r="D13" s="37"/>
      <c r="E13" s="11">
        <v>11</v>
      </c>
      <c r="F13" s="11" t="s">
        <v>21</v>
      </c>
      <c r="G13" s="2"/>
      <c r="H13" s="2">
        <v>1</v>
      </c>
      <c r="I13" s="2"/>
      <c r="J13" s="2"/>
    </row>
    <row r="14" spans="1:10" x14ac:dyDescent="0.35">
      <c r="A14" s="37"/>
      <c r="B14" s="34"/>
      <c r="C14" s="34"/>
      <c r="D14" s="37"/>
      <c r="E14" s="11">
        <v>12</v>
      </c>
      <c r="F14" s="11" t="s">
        <v>22</v>
      </c>
      <c r="G14" s="2"/>
      <c r="H14" s="2">
        <v>1</v>
      </c>
      <c r="I14" s="2"/>
      <c r="J14" s="2"/>
    </row>
    <row r="15" spans="1:10" x14ac:dyDescent="0.35">
      <c r="A15" s="37"/>
      <c r="B15" s="34"/>
      <c r="C15" s="34"/>
      <c r="D15" s="37"/>
      <c r="E15" s="11">
        <v>13</v>
      </c>
      <c r="F15" s="11" t="s">
        <v>23</v>
      </c>
      <c r="G15" s="2"/>
      <c r="H15" s="2">
        <v>1</v>
      </c>
      <c r="I15" s="2"/>
      <c r="J15" s="2"/>
    </row>
    <row r="16" spans="1:10" x14ac:dyDescent="0.35">
      <c r="A16" s="37"/>
      <c r="B16" s="34"/>
      <c r="C16" s="34"/>
      <c r="D16" s="37"/>
      <c r="E16" s="11">
        <v>14</v>
      </c>
      <c r="F16" s="11" t="s">
        <v>24</v>
      </c>
      <c r="G16" s="2"/>
      <c r="H16" s="2">
        <v>1</v>
      </c>
      <c r="I16" s="2"/>
      <c r="J16" s="2"/>
    </row>
    <row r="17" spans="1:10" x14ac:dyDescent="0.35">
      <c r="A17" s="37"/>
      <c r="B17" s="34"/>
      <c r="C17" s="34"/>
      <c r="D17" s="37"/>
      <c r="E17" s="11">
        <v>15</v>
      </c>
      <c r="F17" s="11" t="s">
        <v>25</v>
      </c>
      <c r="G17" s="2"/>
      <c r="H17" s="2">
        <v>1</v>
      </c>
      <c r="I17" s="2"/>
      <c r="J17" s="2"/>
    </row>
    <row r="18" spans="1:10" x14ac:dyDescent="0.35">
      <c r="A18" s="36" t="s">
        <v>26</v>
      </c>
      <c r="B18" s="35">
        <v>45825</v>
      </c>
      <c r="C18" s="33" t="s">
        <v>27</v>
      </c>
      <c r="D18" s="33" t="s">
        <v>28</v>
      </c>
      <c r="E18" s="11">
        <v>3</v>
      </c>
      <c r="F18" s="11" t="s">
        <v>29</v>
      </c>
      <c r="G18" s="2"/>
      <c r="H18" s="2">
        <v>1</v>
      </c>
      <c r="I18" s="2"/>
      <c r="J18" s="2"/>
    </row>
    <row r="19" spans="1:10" x14ac:dyDescent="0.35">
      <c r="A19" s="37"/>
      <c r="B19" s="34"/>
      <c r="C19" s="34"/>
      <c r="D19" s="34"/>
      <c r="E19" s="11">
        <v>4</v>
      </c>
      <c r="F19" s="11" t="s">
        <v>30</v>
      </c>
      <c r="G19" s="2"/>
      <c r="H19" s="2">
        <v>1</v>
      </c>
      <c r="I19" s="2"/>
      <c r="J19" s="2"/>
    </row>
    <row r="20" spans="1:10" x14ac:dyDescent="0.35">
      <c r="A20" s="37"/>
      <c r="B20" s="34"/>
      <c r="C20" s="34"/>
      <c r="D20" s="34"/>
      <c r="E20" s="11">
        <v>5</v>
      </c>
      <c r="F20" s="11" t="s">
        <v>31</v>
      </c>
      <c r="G20" s="2"/>
      <c r="H20" s="2">
        <v>1</v>
      </c>
      <c r="I20" s="2"/>
      <c r="J20" s="2"/>
    </row>
    <row r="21" spans="1:10" x14ac:dyDescent="0.35">
      <c r="A21" s="37"/>
      <c r="B21" s="34"/>
      <c r="C21" s="34"/>
      <c r="D21" s="34"/>
      <c r="E21" s="11">
        <v>6</v>
      </c>
      <c r="F21" s="11" t="s">
        <v>32</v>
      </c>
      <c r="G21" s="2"/>
      <c r="H21" s="2">
        <v>1</v>
      </c>
      <c r="I21" s="2"/>
      <c r="J21" s="2"/>
    </row>
    <row r="22" spans="1:10" x14ac:dyDescent="0.35">
      <c r="A22" s="37"/>
      <c r="B22" s="34"/>
      <c r="C22" s="34"/>
      <c r="D22" s="34"/>
      <c r="E22" s="11">
        <v>41</v>
      </c>
      <c r="F22" s="11" t="s">
        <v>33</v>
      </c>
      <c r="G22" s="2"/>
      <c r="H22" s="2">
        <v>1</v>
      </c>
      <c r="I22" s="2"/>
      <c r="J22" s="2"/>
    </row>
    <row r="23" spans="1:10" x14ac:dyDescent="0.35">
      <c r="A23" s="37"/>
      <c r="B23" s="34"/>
      <c r="C23" s="34"/>
      <c r="D23" s="34"/>
      <c r="E23" s="11">
        <v>42</v>
      </c>
      <c r="F23" s="11" t="s">
        <v>34</v>
      </c>
      <c r="G23" s="2"/>
      <c r="H23" s="2">
        <v>1</v>
      </c>
      <c r="I23" s="2"/>
      <c r="J23" s="2"/>
    </row>
    <row r="24" spans="1:10" x14ac:dyDescent="0.35">
      <c r="A24" s="37"/>
      <c r="B24" s="34"/>
      <c r="C24" s="34"/>
      <c r="D24" s="34"/>
      <c r="E24" s="11">
        <v>1</v>
      </c>
      <c r="F24" s="11" t="s">
        <v>35</v>
      </c>
      <c r="G24" s="2"/>
      <c r="H24" s="2">
        <v>1</v>
      </c>
      <c r="I24" s="2"/>
      <c r="J24" s="2"/>
    </row>
    <row r="25" spans="1:10" x14ac:dyDescent="0.35">
      <c r="A25" s="37"/>
      <c r="B25" s="34"/>
      <c r="C25" s="34"/>
      <c r="D25" s="34"/>
      <c r="E25" s="11">
        <v>2</v>
      </c>
      <c r="F25" s="11" t="s">
        <v>36</v>
      </c>
      <c r="G25" s="2"/>
      <c r="H25" s="2">
        <v>1</v>
      </c>
      <c r="I25" s="2"/>
      <c r="J25" s="2"/>
    </row>
    <row r="26" spans="1:10" x14ac:dyDescent="0.35">
      <c r="A26" s="36" t="s">
        <v>37</v>
      </c>
      <c r="B26" s="33" t="s">
        <v>12</v>
      </c>
      <c r="C26" s="34" t="s">
        <v>27</v>
      </c>
      <c r="D26" s="33" t="s">
        <v>14</v>
      </c>
      <c r="E26" s="11">
        <v>17</v>
      </c>
      <c r="F26" s="11" t="s">
        <v>38</v>
      </c>
      <c r="G26" s="2"/>
      <c r="H26" s="2">
        <v>1</v>
      </c>
      <c r="I26" s="2"/>
      <c r="J26" s="2"/>
    </row>
    <row r="27" spans="1:10" x14ac:dyDescent="0.35">
      <c r="A27" s="37"/>
      <c r="B27" s="34"/>
      <c r="C27" s="34"/>
      <c r="D27" s="34"/>
      <c r="E27" s="11">
        <v>19</v>
      </c>
      <c r="F27" s="11" t="s">
        <v>39</v>
      </c>
      <c r="G27" s="2"/>
      <c r="H27" s="2">
        <v>1</v>
      </c>
      <c r="I27" s="2"/>
      <c r="J27" s="2"/>
    </row>
    <row r="28" spans="1:10" x14ac:dyDescent="0.35">
      <c r="A28" s="37"/>
      <c r="B28" s="34"/>
      <c r="C28" s="34"/>
      <c r="D28" s="34"/>
      <c r="E28" s="11">
        <v>20</v>
      </c>
      <c r="F28" s="11" t="s">
        <v>40</v>
      </c>
      <c r="G28" s="2"/>
      <c r="H28" s="2">
        <v>1</v>
      </c>
      <c r="I28" s="2"/>
      <c r="J28" s="2"/>
    </row>
    <row r="29" spans="1:10" x14ac:dyDescent="0.35">
      <c r="A29" s="37"/>
      <c r="B29" s="34"/>
      <c r="C29" s="34"/>
      <c r="D29" s="34"/>
      <c r="E29" s="11">
        <v>21</v>
      </c>
      <c r="F29" s="11" t="s">
        <v>41</v>
      </c>
      <c r="G29" s="2"/>
      <c r="H29" s="2">
        <v>1</v>
      </c>
      <c r="I29" s="2"/>
      <c r="J29" s="2"/>
    </row>
    <row r="30" spans="1:10" x14ac:dyDescent="0.35">
      <c r="A30" s="37"/>
      <c r="B30" s="34"/>
      <c r="C30" s="34"/>
      <c r="D30" s="34"/>
      <c r="E30" s="11">
        <v>22</v>
      </c>
      <c r="F30" s="11" t="s">
        <v>42</v>
      </c>
      <c r="G30" s="2"/>
      <c r="H30" s="2">
        <v>1</v>
      </c>
      <c r="I30" s="2"/>
      <c r="J30" s="2"/>
    </row>
    <row r="31" spans="1:10" x14ac:dyDescent="0.35">
      <c r="A31" s="37"/>
      <c r="B31" s="34"/>
      <c r="C31" s="34"/>
      <c r="D31" s="34"/>
      <c r="E31" s="11">
        <v>23</v>
      </c>
      <c r="F31" s="11" t="s">
        <v>43</v>
      </c>
      <c r="G31" s="2"/>
      <c r="H31" s="2">
        <v>1</v>
      </c>
      <c r="I31" s="2"/>
      <c r="J31" s="2"/>
    </row>
    <row r="32" spans="1:10" x14ac:dyDescent="0.35">
      <c r="A32" s="37"/>
      <c r="B32" s="34"/>
      <c r="C32" s="34"/>
      <c r="D32" s="34"/>
      <c r="E32" s="11">
        <v>24</v>
      </c>
      <c r="F32" s="11" t="s">
        <v>44</v>
      </c>
      <c r="G32" s="2"/>
      <c r="H32" s="2">
        <v>1</v>
      </c>
      <c r="I32" s="2"/>
      <c r="J32" s="2"/>
    </row>
    <row r="33" spans="1:10" x14ac:dyDescent="0.35">
      <c r="A33" s="37"/>
      <c r="B33" s="34"/>
      <c r="C33" s="34"/>
      <c r="D33" s="34"/>
      <c r="E33" s="11">
        <v>25</v>
      </c>
      <c r="F33" s="11" t="s">
        <v>45</v>
      </c>
      <c r="G33" s="2"/>
      <c r="H33" s="2">
        <v>1</v>
      </c>
      <c r="I33" s="2"/>
      <c r="J33" s="2"/>
    </row>
    <row r="34" spans="1:10" x14ac:dyDescent="0.35">
      <c r="A34" s="37"/>
      <c r="B34" s="34"/>
      <c r="C34" s="34"/>
      <c r="D34" s="34"/>
      <c r="E34" s="11">
        <v>26</v>
      </c>
      <c r="F34" s="11" t="s">
        <v>46</v>
      </c>
      <c r="G34" s="2"/>
      <c r="H34" s="2">
        <v>1</v>
      </c>
      <c r="I34" s="2"/>
      <c r="J34" s="2"/>
    </row>
    <row r="35" spans="1:10" x14ac:dyDescent="0.35">
      <c r="A35" s="37"/>
      <c r="B35" s="34"/>
      <c r="C35" s="34"/>
      <c r="D35" s="34"/>
      <c r="E35" s="11">
        <v>18</v>
      </c>
      <c r="F35" s="11" t="s">
        <v>47</v>
      </c>
      <c r="G35" s="2"/>
      <c r="H35" s="2">
        <v>1</v>
      </c>
      <c r="I35" s="2"/>
      <c r="J35" s="2"/>
    </row>
    <row r="36" spans="1:10" x14ac:dyDescent="0.35">
      <c r="A36" s="36" t="s">
        <v>48</v>
      </c>
      <c r="B36" s="34" t="s">
        <v>12</v>
      </c>
      <c r="C36" s="33" t="s">
        <v>49</v>
      </c>
      <c r="D36" s="37" t="s">
        <v>14</v>
      </c>
      <c r="E36" s="11">
        <v>33</v>
      </c>
      <c r="F36" s="11" t="s">
        <v>50</v>
      </c>
      <c r="G36" s="2"/>
      <c r="H36" s="2">
        <v>1</v>
      </c>
      <c r="I36" s="2"/>
      <c r="J36" s="2"/>
    </row>
    <row r="37" spans="1:10" x14ac:dyDescent="0.35">
      <c r="A37" s="37"/>
      <c r="B37" s="34"/>
      <c r="C37" s="34"/>
      <c r="D37" s="37"/>
      <c r="E37" s="11">
        <v>34</v>
      </c>
      <c r="F37" s="11" t="s">
        <v>51</v>
      </c>
      <c r="G37" s="2"/>
      <c r="H37" s="2">
        <v>1</v>
      </c>
      <c r="I37" s="2"/>
      <c r="J37" s="2"/>
    </row>
    <row r="38" spans="1:10" x14ac:dyDescent="0.35">
      <c r="A38" s="37"/>
      <c r="B38" s="34"/>
      <c r="C38" s="34"/>
      <c r="D38" s="37"/>
      <c r="E38" s="11">
        <v>35</v>
      </c>
      <c r="F38" s="11" t="s">
        <v>52</v>
      </c>
      <c r="G38" s="2"/>
      <c r="H38" s="2">
        <v>1</v>
      </c>
      <c r="I38" s="2"/>
      <c r="J38" s="2"/>
    </row>
    <row r="39" spans="1:10" x14ac:dyDescent="0.35">
      <c r="A39" s="37"/>
      <c r="B39" s="34"/>
      <c r="C39" s="34"/>
      <c r="D39" s="37"/>
      <c r="E39" s="11">
        <v>39</v>
      </c>
      <c r="F39" s="11" t="s">
        <v>53</v>
      </c>
      <c r="G39" s="2"/>
      <c r="H39" s="2">
        <v>1</v>
      </c>
      <c r="I39" s="2"/>
      <c r="J39" s="2"/>
    </row>
    <row r="40" spans="1:10" x14ac:dyDescent="0.35">
      <c r="A40" s="37"/>
      <c r="B40" s="34"/>
      <c r="C40" s="34"/>
      <c r="D40" s="37"/>
      <c r="E40" s="11">
        <v>32</v>
      </c>
      <c r="F40" s="11" t="s">
        <v>54</v>
      </c>
      <c r="G40" s="2"/>
      <c r="H40" s="2">
        <v>1</v>
      </c>
      <c r="I40" s="2"/>
      <c r="J40" s="2"/>
    </row>
    <row r="41" spans="1:10" x14ac:dyDescent="0.35">
      <c r="A41" s="37"/>
      <c r="B41" s="34"/>
      <c r="C41" s="34"/>
      <c r="D41" s="37"/>
      <c r="E41" s="11">
        <v>36</v>
      </c>
      <c r="F41" s="11" t="s">
        <v>55</v>
      </c>
      <c r="G41" s="2"/>
      <c r="H41" s="2">
        <v>1</v>
      </c>
      <c r="I41" s="2"/>
      <c r="J41" s="2"/>
    </row>
    <row r="42" spans="1:10" x14ac:dyDescent="0.35">
      <c r="A42" s="37"/>
      <c r="B42" s="34"/>
      <c r="C42" s="34"/>
      <c r="D42" s="37"/>
      <c r="E42" s="11">
        <v>37</v>
      </c>
      <c r="F42" s="11" t="s">
        <v>56</v>
      </c>
      <c r="G42" s="2"/>
      <c r="H42" s="2">
        <v>1</v>
      </c>
      <c r="I42" s="2"/>
      <c r="J42" s="2"/>
    </row>
    <row r="43" spans="1:10" x14ac:dyDescent="0.35">
      <c r="A43" s="37"/>
      <c r="B43" s="34"/>
      <c r="C43" s="34"/>
      <c r="D43" s="37"/>
      <c r="E43" s="11">
        <v>38</v>
      </c>
      <c r="F43" s="11" t="s">
        <v>57</v>
      </c>
      <c r="G43" s="2"/>
      <c r="H43" s="2">
        <v>1</v>
      </c>
      <c r="I43" s="2"/>
      <c r="J43" s="2"/>
    </row>
    <row r="44" spans="1:10" x14ac:dyDescent="0.35">
      <c r="A44" s="37"/>
      <c r="B44" s="34"/>
      <c r="C44" s="34"/>
      <c r="D44" s="37"/>
      <c r="E44" s="11">
        <v>40</v>
      </c>
      <c r="F44" s="11" t="s">
        <v>58</v>
      </c>
      <c r="G44" s="2"/>
      <c r="H44" s="2">
        <v>1</v>
      </c>
      <c r="I44" s="2"/>
      <c r="J44" s="2"/>
    </row>
    <row r="45" spans="1:10" x14ac:dyDescent="0.35">
      <c r="A45" s="37"/>
      <c r="B45" s="34"/>
      <c r="C45" s="34"/>
      <c r="D45" s="37"/>
      <c r="E45" s="11">
        <v>41</v>
      </c>
      <c r="F45" s="11" t="s">
        <v>59</v>
      </c>
      <c r="G45" s="2"/>
      <c r="H45" s="2">
        <v>1</v>
      </c>
      <c r="I45" s="2"/>
      <c r="J45" s="2"/>
    </row>
    <row r="46" spans="1:10" x14ac:dyDescent="0.35">
      <c r="A46" s="37"/>
      <c r="B46" s="34"/>
      <c r="C46" s="34"/>
      <c r="D46" s="37"/>
      <c r="E46" s="11">
        <v>42</v>
      </c>
      <c r="F46" s="11" t="s">
        <v>60</v>
      </c>
      <c r="G46" s="2"/>
      <c r="H46" s="2">
        <v>1</v>
      </c>
      <c r="I46" s="2"/>
      <c r="J46" s="2"/>
    </row>
    <row r="47" spans="1:10" x14ac:dyDescent="0.35">
      <c r="A47" s="37"/>
      <c r="B47" s="34"/>
      <c r="C47" s="34"/>
      <c r="D47" s="37"/>
      <c r="E47" s="11">
        <v>43</v>
      </c>
      <c r="F47" s="11" t="s">
        <v>61</v>
      </c>
      <c r="G47" s="2"/>
      <c r="H47" s="2">
        <v>1</v>
      </c>
      <c r="I47" s="2"/>
      <c r="J47" s="2"/>
    </row>
    <row r="48" spans="1:10" x14ac:dyDescent="0.35">
      <c r="A48" s="26" t="s">
        <v>62</v>
      </c>
      <c r="B48" s="34" t="s">
        <v>12</v>
      </c>
      <c r="C48" s="33" t="s">
        <v>13</v>
      </c>
      <c r="D48" s="37" t="s">
        <v>14</v>
      </c>
      <c r="E48" s="11" t="s">
        <v>63</v>
      </c>
      <c r="F48" s="11" t="s">
        <v>64</v>
      </c>
      <c r="G48" s="2"/>
      <c r="H48" s="2"/>
      <c r="I48" s="2">
        <v>1</v>
      </c>
      <c r="J48" s="2"/>
    </row>
    <row r="49" spans="1:10" x14ac:dyDescent="0.35">
      <c r="A49" s="26" t="s">
        <v>65</v>
      </c>
      <c r="B49" s="34" t="s">
        <v>12</v>
      </c>
      <c r="C49" s="34" t="s">
        <v>13</v>
      </c>
      <c r="D49" s="34" t="s">
        <v>14</v>
      </c>
      <c r="E49" s="11" t="s">
        <v>66</v>
      </c>
      <c r="F49" s="11" t="s">
        <v>67</v>
      </c>
      <c r="G49" s="2"/>
      <c r="H49" s="2"/>
      <c r="I49" s="2">
        <v>1</v>
      </c>
      <c r="J49" s="2"/>
    </row>
    <row r="50" spans="1:10" x14ac:dyDescent="0.35">
      <c r="A50" s="36" t="s">
        <v>68</v>
      </c>
      <c r="B50" s="34" t="s">
        <v>12</v>
      </c>
      <c r="C50" s="33" t="s">
        <v>69</v>
      </c>
      <c r="D50" s="34" t="s">
        <v>14</v>
      </c>
      <c r="E50" s="11">
        <v>14</v>
      </c>
      <c r="F50" s="11" t="s">
        <v>70</v>
      </c>
      <c r="G50" s="2"/>
      <c r="H50" s="2">
        <v>1</v>
      </c>
      <c r="I50" s="2"/>
      <c r="J50" s="2"/>
    </row>
    <row r="51" spans="1:10" x14ac:dyDescent="0.35">
      <c r="A51" s="37"/>
      <c r="B51" s="34"/>
      <c r="C51" s="34"/>
      <c r="D51" s="34"/>
      <c r="E51" s="11">
        <v>19</v>
      </c>
      <c r="F51" s="11" t="s">
        <v>71</v>
      </c>
      <c r="G51" s="2"/>
      <c r="H51" s="2">
        <v>1</v>
      </c>
      <c r="I51" s="2"/>
      <c r="J51" s="2"/>
    </row>
    <row r="52" spans="1:10" x14ac:dyDescent="0.35">
      <c r="A52" s="37"/>
      <c r="B52" s="34"/>
      <c r="C52" s="34"/>
      <c r="D52" s="34"/>
      <c r="E52" s="11">
        <v>21</v>
      </c>
      <c r="F52" s="11" t="s">
        <v>72</v>
      </c>
      <c r="G52" s="2"/>
      <c r="H52" s="2">
        <v>1</v>
      </c>
      <c r="I52" s="2"/>
      <c r="J52" s="2"/>
    </row>
    <row r="53" spans="1:10" x14ac:dyDescent="0.35">
      <c r="A53" s="37"/>
      <c r="B53" s="34"/>
      <c r="C53" s="34"/>
      <c r="D53" s="34"/>
      <c r="E53" s="11">
        <v>18</v>
      </c>
      <c r="F53" s="11" t="s">
        <v>73</v>
      </c>
      <c r="G53" s="2"/>
      <c r="H53" s="2">
        <v>1</v>
      </c>
      <c r="I53" s="2"/>
      <c r="J53" s="2"/>
    </row>
    <row r="54" spans="1:10" x14ac:dyDescent="0.35">
      <c r="A54" s="36" t="s">
        <v>74</v>
      </c>
      <c r="B54" s="34" t="s">
        <v>12</v>
      </c>
      <c r="C54" s="34" t="s">
        <v>69</v>
      </c>
      <c r="D54" s="34" t="s">
        <v>14</v>
      </c>
      <c r="E54" s="11">
        <v>9</v>
      </c>
      <c r="F54" s="11" t="s">
        <v>75</v>
      </c>
      <c r="G54" s="2"/>
      <c r="H54" s="2">
        <v>1</v>
      </c>
      <c r="I54" s="2"/>
      <c r="J54" s="2"/>
    </row>
    <row r="55" spans="1:10" x14ac:dyDescent="0.35">
      <c r="A55" s="37"/>
      <c r="B55" s="34"/>
      <c r="C55" s="34"/>
      <c r="D55" s="34"/>
      <c r="E55" s="11">
        <v>10</v>
      </c>
      <c r="F55" s="11" t="s">
        <v>76</v>
      </c>
      <c r="G55" s="2"/>
      <c r="H55" s="2">
        <v>1</v>
      </c>
      <c r="I55" s="2"/>
      <c r="J55" s="2"/>
    </row>
    <row r="56" spans="1:10" x14ac:dyDescent="0.35">
      <c r="A56" s="37"/>
      <c r="B56" s="34"/>
      <c r="C56" s="34"/>
      <c r="D56" s="34"/>
      <c r="E56" s="33">
        <v>11</v>
      </c>
      <c r="F56" s="11" t="s">
        <v>77</v>
      </c>
      <c r="G56" s="2"/>
      <c r="H56" s="2">
        <v>1</v>
      </c>
      <c r="I56" s="2"/>
      <c r="J56" s="2"/>
    </row>
    <row r="57" spans="1:10" x14ac:dyDescent="0.35">
      <c r="A57" s="37"/>
      <c r="B57" s="34"/>
      <c r="C57" s="34"/>
      <c r="D57" s="34"/>
      <c r="E57" s="34"/>
      <c r="F57" s="11" t="s">
        <v>78</v>
      </c>
      <c r="G57" s="2"/>
      <c r="H57" s="2">
        <v>1</v>
      </c>
      <c r="I57" s="2"/>
      <c r="J57" s="2"/>
    </row>
    <row r="58" spans="1:10" x14ac:dyDescent="0.35">
      <c r="A58" s="37"/>
      <c r="B58" s="34"/>
      <c r="C58" s="34"/>
      <c r="D58" s="34"/>
      <c r="E58" s="11">
        <v>12</v>
      </c>
      <c r="F58" s="11" t="s">
        <v>79</v>
      </c>
      <c r="G58" s="2"/>
      <c r="H58" s="2">
        <v>1</v>
      </c>
      <c r="I58" s="2"/>
      <c r="J58" s="2"/>
    </row>
    <row r="59" spans="1:10" x14ac:dyDescent="0.35">
      <c r="A59" s="37"/>
      <c r="B59" s="34"/>
      <c r="C59" s="34"/>
      <c r="D59" s="34"/>
      <c r="E59" s="11">
        <v>13</v>
      </c>
      <c r="F59" s="11" t="s">
        <v>80</v>
      </c>
      <c r="G59" s="2"/>
      <c r="H59" s="2">
        <v>1</v>
      </c>
      <c r="I59" s="2"/>
      <c r="J59" s="2"/>
    </row>
    <row r="60" spans="1:10" x14ac:dyDescent="0.35">
      <c r="A60" s="37"/>
      <c r="B60" s="34"/>
      <c r="C60" s="34"/>
      <c r="D60" s="34"/>
      <c r="E60" s="11">
        <v>14</v>
      </c>
      <c r="F60" s="11" t="s">
        <v>81</v>
      </c>
      <c r="G60" s="2"/>
      <c r="H60" s="2">
        <v>1</v>
      </c>
      <c r="I60" s="2"/>
      <c r="J60" s="2"/>
    </row>
    <row r="61" spans="1:10" x14ac:dyDescent="0.35">
      <c r="A61" s="37"/>
      <c r="B61" s="34"/>
      <c r="C61" s="34"/>
      <c r="D61" s="34"/>
      <c r="E61" s="11">
        <v>15</v>
      </c>
      <c r="F61" s="11" t="s">
        <v>82</v>
      </c>
      <c r="G61" s="2"/>
      <c r="H61" s="2">
        <v>1</v>
      </c>
      <c r="I61" s="2"/>
      <c r="J61" s="2"/>
    </row>
    <row r="62" spans="1:10" x14ac:dyDescent="0.35">
      <c r="A62" s="37"/>
      <c r="B62" s="34"/>
      <c r="C62" s="34"/>
      <c r="D62" s="34"/>
      <c r="E62" s="11">
        <v>17</v>
      </c>
      <c r="F62" s="11" t="s">
        <v>71</v>
      </c>
      <c r="G62" s="2"/>
      <c r="H62" s="2">
        <v>1</v>
      </c>
      <c r="I62" s="2"/>
      <c r="J62" s="2"/>
    </row>
    <row r="63" spans="1:10" x14ac:dyDescent="0.35">
      <c r="A63" s="37"/>
      <c r="B63" s="34"/>
      <c r="C63" s="34"/>
      <c r="D63" s="34"/>
      <c r="E63" s="11">
        <v>16</v>
      </c>
      <c r="F63" s="11" t="s">
        <v>83</v>
      </c>
      <c r="G63" s="2"/>
      <c r="H63" s="2">
        <v>1</v>
      </c>
      <c r="I63" s="2"/>
      <c r="J63" s="2"/>
    </row>
    <row r="64" spans="1:10" x14ac:dyDescent="0.35">
      <c r="A64" s="37"/>
      <c r="B64" s="34"/>
      <c r="C64" s="33" t="s">
        <v>84</v>
      </c>
      <c r="D64" s="34" t="s">
        <v>14</v>
      </c>
      <c r="E64" s="26">
        <v>7</v>
      </c>
      <c r="F64" s="26" t="s">
        <v>85</v>
      </c>
      <c r="G64" s="2"/>
      <c r="H64" s="2">
        <v>1</v>
      </c>
      <c r="I64" s="2"/>
      <c r="J64" s="2"/>
    </row>
    <row r="65" spans="1:10" x14ac:dyDescent="0.35">
      <c r="A65" s="37"/>
      <c r="B65" s="34"/>
      <c r="C65" s="34"/>
      <c r="D65" s="34"/>
      <c r="E65" s="26">
        <v>8</v>
      </c>
      <c r="F65" s="26" t="s">
        <v>86</v>
      </c>
      <c r="G65" s="2"/>
      <c r="H65" s="2">
        <v>1</v>
      </c>
      <c r="I65" s="2"/>
      <c r="J65" s="2"/>
    </row>
    <row r="66" spans="1:10" x14ac:dyDescent="0.35">
      <c r="A66" s="36" t="s">
        <v>87</v>
      </c>
      <c r="B66" s="34" t="s">
        <v>12</v>
      </c>
      <c r="C66" s="11" t="s">
        <v>27</v>
      </c>
      <c r="D66" s="34" t="s">
        <v>14</v>
      </c>
      <c r="E66" s="11" t="s">
        <v>88</v>
      </c>
      <c r="F66" s="11" t="s">
        <v>89</v>
      </c>
      <c r="G66" s="2"/>
      <c r="H66" s="2">
        <v>1</v>
      </c>
      <c r="I66" s="2"/>
      <c r="J66" s="2"/>
    </row>
    <row r="67" spans="1:10" x14ac:dyDescent="0.35">
      <c r="A67" s="37"/>
      <c r="B67" s="34"/>
      <c r="C67" s="33" t="s">
        <v>13</v>
      </c>
      <c r="D67" s="34" t="s">
        <v>14</v>
      </c>
      <c r="E67" s="11" t="s">
        <v>90</v>
      </c>
      <c r="F67" s="11" t="s">
        <v>91</v>
      </c>
      <c r="G67" s="2"/>
      <c r="H67" s="2">
        <v>1</v>
      </c>
      <c r="I67" s="2"/>
      <c r="J67" s="2"/>
    </row>
    <row r="68" spans="1:10" x14ac:dyDescent="0.35">
      <c r="A68" s="26" t="s">
        <v>92</v>
      </c>
      <c r="B68" s="34" t="s">
        <v>12</v>
      </c>
      <c r="C68" s="34" t="s">
        <v>13</v>
      </c>
      <c r="D68" s="36" t="s">
        <v>93</v>
      </c>
      <c r="E68" s="11" t="s">
        <v>94</v>
      </c>
      <c r="F68" s="11" t="s">
        <v>95</v>
      </c>
      <c r="G68" s="2"/>
      <c r="H68" s="2">
        <v>1</v>
      </c>
      <c r="I68" s="2"/>
      <c r="J68" s="2"/>
    </row>
    <row r="69" spans="1:10" x14ac:dyDescent="0.35">
      <c r="A69" s="26" t="s">
        <v>96</v>
      </c>
      <c r="B69" s="34" t="s">
        <v>12</v>
      </c>
      <c r="C69" s="34" t="s">
        <v>13</v>
      </c>
      <c r="D69" s="34" t="s">
        <v>93</v>
      </c>
      <c r="E69" s="11">
        <v>33</v>
      </c>
      <c r="F69" s="11" t="s">
        <v>97</v>
      </c>
      <c r="G69" s="2"/>
      <c r="H69" s="2">
        <v>1</v>
      </c>
      <c r="I69" s="2"/>
      <c r="J69" s="2"/>
    </row>
    <row r="70" spans="1:10" x14ac:dyDescent="0.35">
      <c r="A70" s="26" t="s">
        <v>98</v>
      </c>
      <c r="B70" s="34" t="s">
        <v>12</v>
      </c>
      <c r="C70" s="34" t="s">
        <v>13</v>
      </c>
      <c r="D70" s="34" t="s">
        <v>93</v>
      </c>
      <c r="E70" s="11">
        <v>34</v>
      </c>
      <c r="F70" s="11" t="s">
        <v>99</v>
      </c>
      <c r="G70" s="2"/>
      <c r="H70" s="2">
        <v>1</v>
      </c>
      <c r="I70" s="2"/>
      <c r="J70" s="2"/>
    </row>
    <row r="71" spans="1:10" x14ac:dyDescent="0.35">
      <c r="A71" s="26" t="s">
        <v>100</v>
      </c>
      <c r="B71" s="34" t="s">
        <v>12</v>
      </c>
      <c r="C71" s="34" t="s">
        <v>13</v>
      </c>
      <c r="D71" s="34" t="s">
        <v>93</v>
      </c>
      <c r="E71" s="11">
        <v>35</v>
      </c>
      <c r="F71" s="11" t="s">
        <v>101</v>
      </c>
      <c r="G71" s="2"/>
      <c r="H71" s="2">
        <v>1</v>
      </c>
      <c r="I71" s="2"/>
      <c r="J71" s="2"/>
    </row>
    <row r="72" spans="1:10" x14ac:dyDescent="0.35">
      <c r="A72" s="26" t="s">
        <v>102</v>
      </c>
      <c r="B72" s="34" t="s">
        <v>12</v>
      </c>
      <c r="C72" s="33" t="s">
        <v>27</v>
      </c>
      <c r="D72" s="37" t="s">
        <v>93</v>
      </c>
      <c r="E72" s="11">
        <v>39</v>
      </c>
      <c r="F72" s="11" t="s">
        <v>103</v>
      </c>
      <c r="G72" s="2"/>
      <c r="H72" s="2"/>
      <c r="I72" s="2">
        <v>1</v>
      </c>
      <c r="J72" s="2"/>
    </row>
    <row r="73" spans="1:10" x14ac:dyDescent="0.35">
      <c r="A73" s="26" t="s">
        <v>104</v>
      </c>
      <c r="B73" s="34" t="s">
        <v>12</v>
      </c>
      <c r="C73" s="34" t="s">
        <v>27</v>
      </c>
      <c r="D73" s="34" t="s">
        <v>93</v>
      </c>
      <c r="E73" s="11" t="s">
        <v>105</v>
      </c>
      <c r="F73" s="11" t="s">
        <v>106</v>
      </c>
      <c r="G73" s="2"/>
      <c r="H73" s="2"/>
      <c r="I73" s="2">
        <v>1</v>
      </c>
      <c r="J73" s="2"/>
    </row>
    <row r="74" spans="1:10" x14ac:dyDescent="0.35">
      <c r="A74" s="36" t="s">
        <v>107</v>
      </c>
      <c r="B74" s="34" t="s">
        <v>12</v>
      </c>
      <c r="C74" s="33" t="s">
        <v>84</v>
      </c>
      <c r="D74" s="33" t="s">
        <v>108</v>
      </c>
      <c r="E74" s="26">
        <v>22</v>
      </c>
      <c r="F74" s="11" t="s">
        <v>109</v>
      </c>
      <c r="G74" s="2"/>
      <c r="H74" s="2">
        <v>1</v>
      </c>
      <c r="I74" s="2"/>
      <c r="J74" s="2"/>
    </row>
    <row r="75" spans="1:10" x14ac:dyDescent="0.35">
      <c r="A75" s="37"/>
      <c r="B75" s="34"/>
      <c r="C75" s="34"/>
      <c r="D75" s="34"/>
      <c r="E75" s="26">
        <v>23</v>
      </c>
      <c r="F75" s="26" t="s">
        <v>110</v>
      </c>
      <c r="G75" s="2"/>
      <c r="H75" s="2">
        <v>1</v>
      </c>
      <c r="I75" s="2"/>
      <c r="J75" s="2"/>
    </row>
    <row r="76" spans="1:10" x14ac:dyDescent="0.35">
      <c r="A76" s="37"/>
      <c r="B76" s="34"/>
      <c r="C76" s="34"/>
      <c r="D76" s="34"/>
      <c r="E76" s="26">
        <v>24</v>
      </c>
      <c r="F76" s="26" t="s">
        <v>111</v>
      </c>
      <c r="G76" s="2"/>
      <c r="H76" s="2">
        <v>1</v>
      </c>
      <c r="I76" s="2"/>
      <c r="J76" s="2"/>
    </row>
    <row r="77" spans="1:10" x14ac:dyDescent="0.35">
      <c r="A77" s="37"/>
      <c r="B77" s="34"/>
      <c r="C77" s="34"/>
      <c r="D77" s="34"/>
      <c r="E77" s="26">
        <v>25</v>
      </c>
      <c r="F77" s="26" t="s">
        <v>112</v>
      </c>
      <c r="G77" s="2"/>
      <c r="H77" s="2">
        <v>1</v>
      </c>
      <c r="I77" s="2"/>
      <c r="J77" s="2"/>
    </row>
    <row r="78" spans="1:10" x14ac:dyDescent="0.35">
      <c r="A78" s="37"/>
      <c r="B78" s="34"/>
      <c r="C78" s="34"/>
      <c r="D78" s="34"/>
      <c r="E78" s="26">
        <v>26</v>
      </c>
      <c r="F78" s="26" t="s">
        <v>113</v>
      </c>
      <c r="G78" s="2"/>
      <c r="H78" s="2">
        <v>1</v>
      </c>
      <c r="I78" s="2"/>
      <c r="J78" s="2"/>
    </row>
    <row r="79" spans="1:10" x14ac:dyDescent="0.35">
      <c r="A79" s="37"/>
      <c r="B79" s="34"/>
      <c r="C79" s="34"/>
      <c r="D79" s="34"/>
      <c r="E79" s="26">
        <v>32</v>
      </c>
      <c r="F79" s="26" t="s">
        <v>114</v>
      </c>
      <c r="G79" s="2"/>
      <c r="H79" s="2">
        <v>1</v>
      </c>
      <c r="I79" s="2"/>
      <c r="J79" s="2"/>
    </row>
    <row r="80" spans="1:10" x14ac:dyDescent="0.35">
      <c r="A80" s="37"/>
      <c r="B80" s="34"/>
      <c r="C80" s="34"/>
      <c r="D80" s="34"/>
      <c r="E80" s="26">
        <v>27</v>
      </c>
      <c r="F80" s="26" t="s">
        <v>114</v>
      </c>
      <c r="G80" s="2"/>
      <c r="H80" s="2">
        <v>1</v>
      </c>
      <c r="I80" s="2"/>
      <c r="J80" s="2"/>
    </row>
    <row r="81" spans="1:10" x14ac:dyDescent="0.35">
      <c r="A81" s="37"/>
      <c r="B81" s="34"/>
      <c r="C81" s="34"/>
      <c r="D81" s="34"/>
      <c r="E81" s="26">
        <v>28</v>
      </c>
      <c r="F81" s="26" t="s">
        <v>114</v>
      </c>
      <c r="G81" s="2"/>
      <c r="H81" s="2">
        <v>1</v>
      </c>
      <c r="I81" s="2"/>
      <c r="J81" s="2"/>
    </row>
    <row r="82" spans="1:10" x14ac:dyDescent="0.35">
      <c r="A82" s="37"/>
      <c r="B82" s="34"/>
      <c r="C82" s="34"/>
      <c r="D82" s="34"/>
      <c r="E82" s="26">
        <v>29</v>
      </c>
      <c r="F82" s="26" t="s">
        <v>114</v>
      </c>
      <c r="G82" s="2"/>
      <c r="H82" s="2">
        <v>1</v>
      </c>
      <c r="I82" s="2"/>
      <c r="J82" s="2"/>
    </row>
    <row r="83" spans="1:10" x14ac:dyDescent="0.35">
      <c r="A83" s="37"/>
      <c r="B83" s="34"/>
      <c r="C83" s="34"/>
      <c r="D83" s="34"/>
      <c r="E83" s="26">
        <v>30</v>
      </c>
      <c r="F83" s="26" t="s">
        <v>114</v>
      </c>
      <c r="G83" s="2"/>
      <c r="H83" s="2">
        <v>1</v>
      </c>
      <c r="I83" s="2"/>
      <c r="J83" s="2"/>
    </row>
    <row r="84" spans="1:10" x14ac:dyDescent="0.35">
      <c r="A84" s="37"/>
      <c r="B84" s="34"/>
      <c r="C84" s="34"/>
      <c r="D84" s="34"/>
      <c r="E84" s="26">
        <v>31</v>
      </c>
      <c r="F84" s="26" t="s">
        <v>114</v>
      </c>
      <c r="G84" s="2"/>
      <c r="H84" s="2">
        <v>1</v>
      </c>
      <c r="I84" s="2"/>
      <c r="J84" s="2"/>
    </row>
    <row r="85" spans="1:10" x14ac:dyDescent="0.35">
      <c r="A85" s="26" t="s">
        <v>115</v>
      </c>
      <c r="B85" s="28">
        <v>45474</v>
      </c>
      <c r="C85" s="34" t="s">
        <v>84</v>
      </c>
      <c r="D85" s="34" t="s">
        <v>108</v>
      </c>
      <c r="E85" s="11" t="s">
        <v>116</v>
      </c>
      <c r="F85" s="11" t="s">
        <v>117</v>
      </c>
      <c r="G85" s="2"/>
      <c r="H85" s="2">
        <v>1</v>
      </c>
      <c r="I85" s="2"/>
      <c r="J85" s="2"/>
    </row>
    <row r="86" spans="1:10" x14ac:dyDescent="0.35">
      <c r="A86" s="26" t="s">
        <v>118</v>
      </c>
      <c r="B86" s="33" t="s">
        <v>12</v>
      </c>
      <c r="C86" s="11" t="s">
        <v>27</v>
      </c>
      <c r="D86" s="33" t="s">
        <v>93</v>
      </c>
      <c r="E86" s="11" t="s">
        <v>119</v>
      </c>
      <c r="F86" s="11" t="s">
        <v>120</v>
      </c>
      <c r="G86" s="2"/>
      <c r="H86" s="2"/>
      <c r="I86" s="2">
        <v>1</v>
      </c>
      <c r="J86" s="2"/>
    </row>
    <row r="87" spans="1:10" x14ac:dyDescent="0.35">
      <c r="A87" s="26" t="s">
        <v>121</v>
      </c>
      <c r="B87" s="34" t="s">
        <v>12</v>
      </c>
      <c r="C87" s="33" t="s">
        <v>49</v>
      </c>
      <c r="D87" s="37" t="s">
        <v>93</v>
      </c>
      <c r="E87" s="11" t="s">
        <v>122</v>
      </c>
      <c r="F87" s="11" t="s">
        <v>123</v>
      </c>
      <c r="G87" s="2"/>
      <c r="H87" s="2">
        <v>1</v>
      </c>
      <c r="I87" s="2"/>
      <c r="J87" s="2"/>
    </row>
    <row r="88" spans="1:10" x14ac:dyDescent="0.35">
      <c r="A88" s="26" t="s">
        <v>124</v>
      </c>
      <c r="B88" s="34" t="s">
        <v>12</v>
      </c>
      <c r="C88" s="34" t="s">
        <v>49</v>
      </c>
      <c r="D88" s="34" t="s">
        <v>93</v>
      </c>
      <c r="E88" s="11" t="s">
        <v>125</v>
      </c>
      <c r="F88" s="11" t="s">
        <v>52</v>
      </c>
      <c r="G88" s="2"/>
      <c r="H88" s="2">
        <v>1</v>
      </c>
      <c r="I88" s="2"/>
      <c r="J88" s="2"/>
    </row>
    <row r="89" spans="1:10" x14ac:dyDescent="0.35">
      <c r="A89" s="26" t="s">
        <v>126</v>
      </c>
      <c r="B89" s="34" t="s">
        <v>12</v>
      </c>
      <c r="C89" s="34" t="s">
        <v>49</v>
      </c>
      <c r="D89" s="34" t="s">
        <v>93</v>
      </c>
      <c r="E89" s="11" t="s">
        <v>127</v>
      </c>
      <c r="F89" s="11" t="s">
        <v>128</v>
      </c>
      <c r="G89" s="2"/>
      <c r="H89" s="2">
        <v>1</v>
      </c>
      <c r="I89" s="2"/>
      <c r="J89" s="2"/>
    </row>
    <row r="90" spans="1:10" x14ac:dyDescent="0.35">
      <c r="A90" s="26" t="s">
        <v>129</v>
      </c>
      <c r="B90" s="11" t="s">
        <v>130</v>
      </c>
      <c r="C90" s="33" t="s">
        <v>69</v>
      </c>
      <c r="D90" s="36" t="s">
        <v>108</v>
      </c>
      <c r="E90" s="11" t="s">
        <v>131</v>
      </c>
      <c r="F90" s="11" t="s">
        <v>132</v>
      </c>
      <c r="G90" s="2"/>
      <c r="H90" s="2">
        <v>1</v>
      </c>
      <c r="I90" s="2"/>
      <c r="J90" s="2"/>
    </row>
    <row r="91" spans="1:10" x14ac:dyDescent="0.35">
      <c r="A91" s="26" t="s">
        <v>133</v>
      </c>
      <c r="B91" s="11" t="s">
        <v>12</v>
      </c>
      <c r="C91" s="34" t="s">
        <v>69</v>
      </c>
      <c r="D91" s="34" t="s">
        <v>108</v>
      </c>
      <c r="E91" s="11">
        <v>40</v>
      </c>
      <c r="F91" s="11" t="s">
        <v>134</v>
      </c>
      <c r="G91" s="2"/>
      <c r="H91" s="2"/>
      <c r="I91" s="2">
        <v>1</v>
      </c>
      <c r="J91" s="2"/>
    </row>
    <row r="92" spans="1:10" x14ac:dyDescent="0.35">
      <c r="A92" s="36" t="s">
        <v>135</v>
      </c>
      <c r="B92" s="35">
        <v>45506</v>
      </c>
      <c r="C92" s="34" t="s">
        <v>69</v>
      </c>
      <c r="D92" s="33" t="s">
        <v>136</v>
      </c>
      <c r="E92" s="11" t="s">
        <v>137</v>
      </c>
      <c r="F92" s="11" t="s">
        <v>138</v>
      </c>
      <c r="G92" s="2"/>
      <c r="H92" s="2">
        <v>1</v>
      </c>
      <c r="I92" s="2"/>
      <c r="J92" s="2"/>
    </row>
    <row r="93" spans="1:10" x14ac:dyDescent="0.35">
      <c r="A93" s="37"/>
      <c r="B93" s="34"/>
      <c r="C93" s="33" t="s">
        <v>49</v>
      </c>
      <c r="D93" s="34" t="s">
        <v>136</v>
      </c>
      <c r="E93" s="11" t="s">
        <v>139</v>
      </c>
      <c r="F93" s="11" t="s">
        <v>140</v>
      </c>
      <c r="G93" s="2"/>
      <c r="H93" s="2">
        <v>1</v>
      </c>
      <c r="I93" s="2"/>
      <c r="J93" s="2"/>
    </row>
    <row r="94" spans="1:10" x14ac:dyDescent="0.35">
      <c r="A94" s="37"/>
      <c r="B94" s="34"/>
      <c r="C94" s="34"/>
      <c r="D94" s="34"/>
      <c r="E94" s="11" t="s">
        <v>141</v>
      </c>
      <c r="F94" s="11" t="s">
        <v>142</v>
      </c>
      <c r="G94" s="2"/>
      <c r="H94" s="2">
        <v>1</v>
      </c>
      <c r="I94" s="2"/>
      <c r="J94" s="2"/>
    </row>
    <row r="95" spans="1:10" x14ac:dyDescent="0.35">
      <c r="A95" s="37"/>
      <c r="B95" s="34"/>
      <c r="C95" s="11" t="s">
        <v>13</v>
      </c>
      <c r="D95" s="34" t="s">
        <v>136</v>
      </c>
      <c r="E95" s="11" t="s">
        <v>143</v>
      </c>
      <c r="F95" s="11" t="s">
        <v>144</v>
      </c>
      <c r="G95" s="2"/>
      <c r="H95" s="2">
        <v>1</v>
      </c>
      <c r="I95" s="2"/>
      <c r="J95" s="2"/>
    </row>
    <row r="96" spans="1:10" x14ac:dyDescent="0.35">
      <c r="A96" s="37"/>
      <c r="B96" s="34"/>
      <c r="C96" s="33" t="s">
        <v>84</v>
      </c>
      <c r="D96" s="34" t="s">
        <v>136</v>
      </c>
      <c r="E96" s="11" t="s">
        <v>145</v>
      </c>
      <c r="F96" s="11" t="s">
        <v>146</v>
      </c>
      <c r="G96" s="2"/>
      <c r="H96" s="2">
        <v>1</v>
      </c>
      <c r="I96" s="2"/>
      <c r="J96" s="2"/>
    </row>
    <row r="97" spans="1:10" x14ac:dyDescent="0.35">
      <c r="A97" s="37"/>
      <c r="B97" s="34"/>
      <c r="C97" s="34"/>
      <c r="D97" s="34"/>
      <c r="E97" s="11" t="s">
        <v>147</v>
      </c>
      <c r="F97" s="11" t="s">
        <v>148</v>
      </c>
      <c r="G97" s="2"/>
      <c r="H97" s="2">
        <v>1</v>
      </c>
      <c r="I97" s="2"/>
      <c r="J97" s="2"/>
    </row>
    <row r="98" spans="1:10" x14ac:dyDescent="0.35">
      <c r="A98" s="36" t="s">
        <v>149</v>
      </c>
      <c r="B98" s="35">
        <v>45825</v>
      </c>
      <c r="C98" s="33" t="s">
        <v>27</v>
      </c>
      <c r="D98" s="33" t="s">
        <v>14</v>
      </c>
      <c r="E98" s="11" t="s">
        <v>10</v>
      </c>
      <c r="F98" s="11" t="s">
        <v>150</v>
      </c>
      <c r="G98" s="2"/>
      <c r="H98" s="2">
        <v>3</v>
      </c>
      <c r="I98" s="2"/>
      <c r="J98" s="2"/>
    </row>
    <row r="99" spans="1:10" x14ac:dyDescent="0.35">
      <c r="A99" s="37"/>
      <c r="B99" s="34"/>
      <c r="C99" s="34"/>
      <c r="D99" s="34"/>
      <c r="E99" s="11">
        <v>27</v>
      </c>
      <c r="F99" s="11" t="s">
        <v>151</v>
      </c>
      <c r="G99" s="2"/>
      <c r="H99" s="2">
        <v>1</v>
      </c>
      <c r="I99" s="2"/>
      <c r="J99" s="2"/>
    </row>
    <row r="100" spans="1:10" x14ac:dyDescent="0.35">
      <c r="A100" s="37"/>
      <c r="B100" s="34"/>
      <c r="C100" s="34"/>
      <c r="D100" s="34"/>
      <c r="E100" s="11">
        <v>28</v>
      </c>
      <c r="F100" s="11" t="s">
        <v>152</v>
      </c>
      <c r="G100" s="2"/>
      <c r="H100" s="2">
        <v>1</v>
      </c>
      <c r="I100" s="2"/>
      <c r="J100" s="2"/>
    </row>
    <row r="101" spans="1:10" x14ac:dyDescent="0.35">
      <c r="A101" s="37"/>
      <c r="B101" s="34"/>
      <c r="C101" s="34"/>
      <c r="D101" s="34"/>
      <c r="E101" s="11">
        <v>29</v>
      </c>
      <c r="F101" s="11" t="s">
        <v>153</v>
      </c>
      <c r="G101" s="2"/>
      <c r="H101" s="2">
        <v>1</v>
      </c>
      <c r="I101" s="2"/>
      <c r="J101" s="2"/>
    </row>
    <row r="102" spans="1:10" x14ac:dyDescent="0.35">
      <c r="A102" s="36" t="s">
        <v>154</v>
      </c>
      <c r="B102" s="38">
        <v>45825</v>
      </c>
      <c r="C102" s="33" t="s">
        <v>69</v>
      </c>
      <c r="D102" s="34" t="s">
        <v>14</v>
      </c>
      <c r="E102" s="11">
        <v>45</v>
      </c>
      <c r="F102" s="11" t="s">
        <v>155</v>
      </c>
      <c r="G102" s="2"/>
      <c r="H102" s="2">
        <v>1</v>
      </c>
      <c r="I102" s="2"/>
      <c r="J102" s="2"/>
    </row>
    <row r="103" spans="1:10" x14ac:dyDescent="0.35">
      <c r="A103" s="37"/>
      <c r="B103" s="34"/>
      <c r="C103" s="34"/>
      <c r="D103" s="34"/>
      <c r="E103" s="11">
        <v>46</v>
      </c>
      <c r="F103" s="11" t="s">
        <v>156</v>
      </c>
      <c r="G103" s="2"/>
      <c r="H103" s="2">
        <v>1</v>
      </c>
      <c r="I103" s="2"/>
      <c r="J103" s="2"/>
    </row>
    <row r="104" spans="1:10" x14ac:dyDescent="0.35">
      <c r="A104" s="37"/>
      <c r="B104" s="34"/>
      <c r="C104" s="34"/>
      <c r="D104" s="34"/>
      <c r="E104" s="11">
        <v>47</v>
      </c>
      <c r="F104" s="11" t="s">
        <v>157</v>
      </c>
      <c r="G104" s="2"/>
      <c r="H104" s="2">
        <v>1</v>
      </c>
      <c r="I104" s="2"/>
      <c r="J104" s="2"/>
    </row>
    <row r="105" spans="1:10" x14ac:dyDescent="0.35">
      <c r="A105" s="37"/>
      <c r="B105" s="34"/>
      <c r="C105" s="34"/>
      <c r="D105" s="34"/>
      <c r="E105" s="11">
        <v>48</v>
      </c>
      <c r="F105" s="11" t="s">
        <v>158</v>
      </c>
      <c r="G105" s="2"/>
      <c r="H105" s="2">
        <v>1</v>
      </c>
      <c r="I105" s="2"/>
      <c r="J105" s="2"/>
    </row>
    <row r="106" spans="1:10" x14ac:dyDescent="0.35">
      <c r="A106" s="37"/>
      <c r="B106" s="34"/>
      <c r="C106" s="34"/>
      <c r="D106" s="34"/>
      <c r="E106" s="11">
        <v>49</v>
      </c>
      <c r="F106" s="11" t="s">
        <v>159</v>
      </c>
      <c r="G106" s="2"/>
      <c r="H106" s="2">
        <v>1</v>
      </c>
      <c r="I106" s="2"/>
      <c r="J106" s="2"/>
    </row>
    <row r="107" spans="1:10" x14ac:dyDescent="0.35">
      <c r="A107" s="37"/>
      <c r="B107" s="34"/>
      <c r="C107" s="11" t="s">
        <v>49</v>
      </c>
      <c r="D107" s="34" t="s">
        <v>14</v>
      </c>
      <c r="E107" s="11">
        <v>44</v>
      </c>
      <c r="F107" s="11" t="s">
        <v>160</v>
      </c>
      <c r="G107" s="2"/>
      <c r="H107" s="2">
        <v>1</v>
      </c>
      <c r="I107" s="2"/>
      <c r="J107" s="2"/>
    </row>
    <row r="108" spans="1:10" x14ac:dyDescent="0.35">
      <c r="A108" s="36" t="s">
        <v>10</v>
      </c>
      <c r="B108" s="11" t="s">
        <v>12</v>
      </c>
      <c r="C108" s="33" t="s">
        <v>10</v>
      </c>
      <c r="D108" s="26" t="s">
        <v>161</v>
      </c>
      <c r="E108" s="36" t="s">
        <v>10</v>
      </c>
      <c r="F108" s="26" t="s">
        <v>10</v>
      </c>
      <c r="G108" s="2"/>
      <c r="H108" s="2"/>
      <c r="I108" s="2"/>
      <c r="J108" s="2"/>
    </row>
    <row r="109" spans="1:10" x14ac:dyDescent="0.35">
      <c r="A109" s="37"/>
      <c r="B109" s="33" t="s">
        <v>10</v>
      </c>
      <c r="C109" s="34" t="s">
        <v>10</v>
      </c>
      <c r="D109" s="33" t="s">
        <v>10</v>
      </c>
      <c r="E109" s="34" t="s">
        <v>10</v>
      </c>
      <c r="F109" s="11" t="s">
        <v>10</v>
      </c>
      <c r="G109" s="2"/>
      <c r="H109" s="2"/>
      <c r="I109" s="2"/>
      <c r="J109" s="2"/>
    </row>
    <row r="110" spans="1:10" x14ac:dyDescent="0.35">
      <c r="A110" s="37"/>
      <c r="B110" s="34"/>
      <c r="C110" s="34"/>
      <c r="D110" s="34"/>
      <c r="E110" s="11" t="s">
        <v>162</v>
      </c>
      <c r="F110" s="11" t="s">
        <v>10</v>
      </c>
      <c r="G110" s="2"/>
      <c r="H110" s="2"/>
      <c r="I110" s="2"/>
      <c r="J110" s="2"/>
    </row>
    <row r="111" spans="1:10" x14ac:dyDescent="0.35">
      <c r="A111" s="37"/>
      <c r="B111" s="34"/>
      <c r="C111" s="34"/>
      <c r="D111" s="34"/>
      <c r="E111" s="11" t="s">
        <v>163</v>
      </c>
      <c r="F111" s="11" t="s">
        <v>10</v>
      </c>
      <c r="G111" s="2"/>
      <c r="H111" s="2"/>
      <c r="I111" s="2"/>
      <c r="J111" s="2"/>
    </row>
    <row r="112" spans="1:10" ht="29" x14ac:dyDescent="0.35">
      <c r="A112" s="37"/>
      <c r="B112" s="34"/>
      <c r="C112" s="34"/>
      <c r="D112" s="34"/>
      <c r="E112" s="11" t="s">
        <v>164</v>
      </c>
      <c r="F112" s="11" t="s">
        <v>10</v>
      </c>
      <c r="G112" s="2"/>
      <c r="H112" s="2"/>
      <c r="I112" s="2"/>
      <c r="J112" s="2"/>
    </row>
    <row r="113" spans="1:10" x14ac:dyDescent="0.35">
      <c r="A113" s="36" t="s">
        <v>165</v>
      </c>
      <c r="B113" s="37"/>
      <c r="C113" s="37"/>
      <c r="D113" s="37"/>
      <c r="E113" s="37"/>
      <c r="F113" s="37"/>
      <c r="G113" s="2"/>
      <c r="H113" s="2">
        <v>99</v>
      </c>
      <c r="I113" s="2">
        <v>6</v>
      </c>
      <c r="J113" s="2"/>
    </row>
  </sheetData>
  <mergeCells count="48">
    <mergeCell ref="D5:D17"/>
    <mergeCell ref="A54:A65"/>
    <mergeCell ref="A50:A53"/>
    <mergeCell ref="D74:D85"/>
    <mergeCell ref="D68:D73"/>
    <mergeCell ref="D26:D67"/>
    <mergeCell ref="A66:A67"/>
    <mergeCell ref="A36:A47"/>
    <mergeCell ref="A26:A35"/>
    <mergeCell ref="A18:A25"/>
    <mergeCell ref="A5:A17"/>
    <mergeCell ref="C72:C73"/>
    <mergeCell ref="C67:C71"/>
    <mergeCell ref="C64:C65"/>
    <mergeCell ref="C50:C63"/>
    <mergeCell ref="C48:C49"/>
    <mergeCell ref="E56:E57"/>
    <mergeCell ref="D18:D25"/>
    <mergeCell ref="C87:C89"/>
    <mergeCell ref="B109:B112"/>
    <mergeCell ref="A113:F113"/>
    <mergeCell ref="A108:A112"/>
    <mergeCell ref="D109:D112"/>
    <mergeCell ref="C108:C112"/>
    <mergeCell ref="E108:E109"/>
    <mergeCell ref="D98:D107"/>
    <mergeCell ref="D92:D97"/>
    <mergeCell ref="D90:D91"/>
    <mergeCell ref="D86:D89"/>
    <mergeCell ref="C102:C106"/>
    <mergeCell ref="C98:C101"/>
    <mergeCell ref="C96:C97"/>
    <mergeCell ref="C93:C94"/>
    <mergeCell ref="C90:C92"/>
    <mergeCell ref="A98:A101"/>
    <mergeCell ref="A92:A97"/>
    <mergeCell ref="A74:A84"/>
    <mergeCell ref="B98:B107"/>
    <mergeCell ref="B92:B97"/>
    <mergeCell ref="B86:B89"/>
    <mergeCell ref="A102:A107"/>
    <mergeCell ref="C36:C47"/>
    <mergeCell ref="C18:C35"/>
    <mergeCell ref="C5:C17"/>
    <mergeCell ref="B26:B84"/>
    <mergeCell ref="B18:B25"/>
    <mergeCell ref="B5:B17"/>
    <mergeCell ref="C74:C85"/>
  </mergeCells>
  <pageMargins left="0.7" right="0.7" top="0.75" bottom="0.75" header="0.3" footer="0.3"/>
  <pageSetup paperSize="9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6"/>
  <sheetViews>
    <sheetView tabSelected="1" zoomScaleNormal="100"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28.26953125" bestFit="1" customWidth="1"/>
    <col min="2" max="2" width="20" bestFit="1" customWidth="1"/>
    <col min="3" max="3" width="12.08984375" bestFit="1" customWidth="1"/>
    <col min="4" max="4" width="10.7265625" bestFit="1" customWidth="1"/>
    <col min="5" max="5" width="23.81640625" style="3" bestFit="1" customWidth="1"/>
    <col min="6" max="6" width="20.54296875" style="3" bestFit="1" customWidth="1"/>
    <col min="7" max="7" width="18.81640625" style="3" bestFit="1" customWidth="1"/>
    <col min="8" max="8" width="20" style="3" bestFit="1" customWidth="1"/>
    <col min="9" max="9" width="19.36328125" style="3" bestFit="1" customWidth="1"/>
    <col min="10" max="10" width="17.36328125" bestFit="1" customWidth="1"/>
    <col min="11" max="11" width="33.1796875" style="3" bestFit="1" customWidth="1"/>
    <col min="12" max="12" width="8.7265625" bestFit="1" customWidth="1"/>
    <col min="13" max="13" width="15.36328125" bestFit="1" customWidth="1"/>
    <col min="14" max="15" width="15.1796875" bestFit="1" customWidth="1"/>
    <col min="16" max="16" width="7" bestFit="1" customWidth="1"/>
    <col min="17" max="17" width="5.453125" bestFit="1" customWidth="1"/>
    <col min="18" max="18" width="14.81640625" bestFit="1" customWidth="1"/>
  </cols>
  <sheetData>
    <row r="1" spans="1:18" x14ac:dyDescent="0.35">
      <c r="A1" s="8" t="s">
        <v>213</v>
      </c>
      <c r="B1" s="8" t="s">
        <v>215</v>
      </c>
      <c r="C1" s="8" t="s">
        <v>216</v>
      </c>
      <c r="D1" s="8" t="s">
        <v>4</v>
      </c>
      <c r="E1" s="8" t="s">
        <v>7</v>
      </c>
      <c r="F1" s="8" t="s">
        <v>212</v>
      </c>
      <c r="G1" s="8" t="s">
        <v>211</v>
      </c>
      <c r="H1" s="8" t="s">
        <v>210</v>
      </c>
      <c r="I1" s="8" t="s">
        <v>221</v>
      </c>
      <c r="J1" s="9" t="s">
        <v>2</v>
      </c>
      <c r="K1" s="8" t="s">
        <v>209</v>
      </c>
      <c r="L1" s="8" t="s">
        <v>1</v>
      </c>
      <c r="M1" s="8" t="s">
        <v>208</v>
      </c>
      <c r="N1" s="29" t="s">
        <v>237</v>
      </c>
      <c r="O1" s="29" t="s">
        <v>214</v>
      </c>
      <c r="P1" s="29" t="s">
        <v>218</v>
      </c>
      <c r="Q1" s="29" t="s">
        <v>219</v>
      </c>
      <c r="R1" s="29" t="s">
        <v>223</v>
      </c>
    </row>
    <row r="2" spans="1:18" x14ac:dyDescent="0.35">
      <c r="A2" s="6">
        <v>14</v>
      </c>
      <c r="B2" s="6">
        <v>1</v>
      </c>
      <c r="C2" s="6" t="s">
        <v>217</v>
      </c>
      <c r="D2" s="6" t="s">
        <v>69</v>
      </c>
      <c r="E2" s="6" t="s">
        <v>70</v>
      </c>
      <c r="F2" s="6"/>
      <c r="G2" s="6"/>
      <c r="H2" s="6"/>
      <c r="I2" s="6"/>
      <c r="J2" s="6" t="s">
        <v>68</v>
      </c>
      <c r="K2" s="7" t="str">
        <f>IFERROR(VLOOKUP(J2,Condensadoras!A:H,7,0),"")</f>
        <v>Azotea - Detrás</v>
      </c>
      <c r="L2" s="7" t="str">
        <f>IFERROR(VLOOKUP(J2,Condensadoras!A:H,8,0),"")</f>
        <v>R-410A</v>
      </c>
      <c r="M2" s="27">
        <v>39083</v>
      </c>
    </row>
    <row r="3" spans="1:18" x14ac:dyDescent="0.35">
      <c r="A3" s="6">
        <v>18</v>
      </c>
      <c r="B3" s="6">
        <v>1</v>
      </c>
      <c r="C3" s="6" t="s">
        <v>217</v>
      </c>
      <c r="D3" s="6" t="s">
        <v>69</v>
      </c>
      <c r="E3" s="6" t="s">
        <v>73</v>
      </c>
      <c r="F3" s="6"/>
      <c r="G3" s="6"/>
      <c r="H3" s="6"/>
      <c r="I3" s="6"/>
      <c r="J3" s="6" t="s">
        <v>68</v>
      </c>
      <c r="K3" s="7" t="str">
        <f>IFERROR(VLOOKUP(J3,Condensadoras!A:H,7,0),"")</f>
        <v>Azotea - Detrás</v>
      </c>
      <c r="L3" s="7" t="str">
        <f>IFERROR(VLOOKUP(J3,Condensadoras!A:H,8,0),"")</f>
        <v>R-410A</v>
      </c>
      <c r="M3" s="27">
        <v>39083</v>
      </c>
    </row>
    <row r="4" spans="1:18" x14ac:dyDescent="0.35">
      <c r="A4" s="6">
        <v>19</v>
      </c>
      <c r="B4" s="6">
        <v>1</v>
      </c>
      <c r="C4" s="6" t="s">
        <v>217</v>
      </c>
      <c r="D4" s="6" t="s">
        <v>69</v>
      </c>
      <c r="E4" s="6" t="s">
        <v>71</v>
      </c>
      <c r="F4" s="6"/>
      <c r="G4" s="6"/>
      <c r="H4" s="6"/>
      <c r="I4" s="6"/>
      <c r="J4" s="6" t="s">
        <v>68</v>
      </c>
      <c r="K4" s="7" t="str">
        <f>IFERROR(VLOOKUP(J4,Condensadoras!A:H,7,0),"")</f>
        <v>Azotea - Detrás</v>
      </c>
      <c r="L4" s="7" t="str">
        <f>IFERROR(VLOOKUP(J4,Condensadoras!A:H,8,0),"")</f>
        <v>R-410A</v>
      </c>
      <c r="M4" s="27">
        <v>39083</v>
      </c>
    </row>
    <row r="5" spans="1:18" x14ac:dyDescent="0.35">
      <c r="A5" s="6">
        <v>21</v>
      </c>
      <c r="B5" s="6">
        <v>1</v>
      </c>
      <c r="C5" s="6" t="s">
        <v>217</v>
      </c>
      <c r="D5" s="6" t="s">
        <v>69</v>
      </c>
      <c r="E5" s="6" t="s">
        <v>72</v>
      </c>
      <c r="F5" s="6"/>
      <c r="G5" s="6"/>
      <c r="H5" s="6"/>
      <c r="I5" s="6"/>
      <c r="J5" s="6" t="s">
        <v>68</v>
      </c>
      <c r="K5" s="7" t="str">
        <f>IFERROR(VLOOKUP(J5,Condensadoras!A:H,7,0),"")</f>
        <v>Azotea - Detrás</v>
      </c>
      <c r="L5" s="7" t="str">
        <f>IFERROR(VLOOKUP(J5,Condensadoras!A:H,8,0),"")</f>
        <v>R-410A</v>
      </c>
      <c r="M5" s="27">
        <v>39083</v>
      </c>
    </row>
    <row r="6" spans="1:18" x14ac:dyDescent="0.35">
      <c r="A6" s="6">
        <v>9</v>
      </c>
      <c r="B6" s="6">
        <v>1</v>
      </c>
      <c r="C6" s="6" t="s">
        <v>217</v>
      </c>
      <c r="D6" s="6" t="s">
        <v>69</v>
      </c>
      <c r="E6" s="6" t="s">
        <v>75</v>
      </c>
      <c r="F6" s="6"/>
      <c r="G6" s="6"/>
      <c r="H6" s="6"/>
      <c r="I6" s="6"/>
      <c r="J6" s="6" t="s">
        <v>74</v>
      </c>
      <c r="K6" s="7" t="str">
        <f>IFERROR(VLOOKUP(J6,Condensadoras!A:H,7,0),"")</f>
        <v>Azotea - Detrás</v>
      </c>
      <c r="L6" s="7" t="str">
        <f>IFERROR(VLOOKUP(J6,Condensadoras!A:H,8,0),"")</f>
        <v>R-410A</v>
      </c>
      <c r="M6" s="27">
        <v>39083</v>
      </c>
    </row>
    <row r="7" spans="1:18" x14ac:dyDescent="0.35">
      <c r="A7" s="6">
        <v>10</v>
      </c>
      <c r="B7" s="6">
        <v>1</v>
      </c>
      <c r="C7" s="6" t="s">
        <v>217</v>
      </c>
      <c r="D7" s="6" t="s">
        <v>69</v>
      </c>
      <c r="E7" s="6" t="s">
        <v>76</v>
      </c>
      <c r="F7" s="6"/>
      <c r="G7" s="6"/>
      <c r="H7" s="6"/>
      <c r="I7" s="6"/>
      <c r="J7" s="6" t="s">
        <v>74</v>
      </c>
      <c r="K7" s="7" t="str">
        <f>IFERROR(VLOOKUP(J7,Condensadoras!A:H,7,0),"")</f>
        <v>Azotea - Detrás</v>
      </c>
      <c r="L7" s="7" t="str">
        <f>IFERROR(VLOOKUP(J7,Condensadoras!A:H,8,0),"")</f>
        <v>R-410A</v>
      </c>
      <c r="M7" s="27">
        <v>39083</v>
      </c>
    </row>
    <row r="8" spans="1:18" x14ac:dyDescent="0.35">
      <c r="A8" s="6">
        <v>11</v>
      </c>
      <c r="B8" s="6">
        <v>1</v>
      </c>
      <c r="C8" s="6" t="s">
        <v>217</v>
      </c>
      <c r="D8" s="6" t="s">
        <v>69</v>
      </c>
      <c r="E8" s="6" t="s">
        <v>77</v>
      </c>
      <c r="F8" s="6"/>
      <c r="G8" s="6"/>
      <c r="H8" s="6"/>
      <c r="I8" s="6"/>
      <c r="J8" s="6" t="s">
        <v>74</v>
      </c>
      <c r="K8" s="7" t="str">
        <f>IFERROR(VLOOKUP(J8,Condensadoras!A:H,7,0),"")</f>
        <v>Azotea - Detrás</v>
      </c>
      <c r="L8" s="7" t="str">
        <f>IFERROR(VLOOKUP(J8,Condensadoras!A:H,8,0),"")</f>
        <v>R-410A</v>
      </c>
      <c r="M8" s="27">
        <v>39083</v>
      </c>
    </row>
    <row r="9" spans="1:18" x14ac:dyDescent="0.35">
      <c r="A9" s="6">
        <v>11</v>
      </c>
      <c r="B9" s="6">
        <v>1</v>
      </c>
      <c r="C9" s="6" t="s">
        <v>217</v>
      </c>
      <c r="D9" s="6" t="s">
        <v>69</v>
      </c>
      <c r="E9" s="6" t="s">
        <v>78</v>
      </c>
      <c r="F9" s="6"/>
      <c r="G9" s="6"/>
      <c r="H9" s="6"/>
      <c r="I9" s="6"/>
      <c r="J9" s="6" t="s">
        <v>74</v>
      </c>
      <c r="K9" s="7" t="str">
        <f>IFERROR(VLOOKUP(J9,Condensadoras!A:H,7,0),"")</f>
        <v>Azotea - Detrás</v>
      </c>
      <c r="L9" s="7" t="str">
        <f>IFERROR(VLOOKUP(J9,Condensadoras!A:H,8,0),"")</f>
        <v>R-410A</v>
      </c>
      <c r="M9" s="27">
        <v>39083</v>
      </c>
    </row>
    <row r="10" spans="1:18" x14ac:dyDescent="0.35">
      <c r="A10" s="6">
        <v>12</v>
      </c>
      <c r="B10" s="6">
        <v>1</v>
      </c>
      <c r="C10" s="6" t="s">
        <v>217</v>
      </c>
      <c r="D10" s="6" t="s">
        <v>69</v>
      </c>
      <c r="E10" s="6" t="s">
        <v>79</v>
      </c>
      <c r="F10" s="6"/>
      <c r="G10" s="6"/>
      <c r="H10" s="6"/>
      <c r="I10" s="6"/>
      <c r="J10" s="6" t="s">
        <v>74</v>
      </c>
      <c r="K10" s="7" t="str">
        <f>IFERROR(VLOOKUP(J10,Condensadoras!A:H,7,0),"")</f>
        <v>Azotea - Detrás</v>
      </c>
      <c r="L10" s="7" t="str">
        <f>IFERROR(VLOOKUP(J10,Condensadoras!A:H,8,0),"")</f>
        <v>R-410A</v>
      </c>
      <c r="M10" s="27">
        <v>39083</v>
      </c>
    </row>
    <row r="11" spans="1:18" x14ac:dyDescent="0.35">
      <c r="A11" s="6">
        <v>13</v>
      </c>
      <c r="B11" s="6">
        <v>1</v>
      </c>
      <c r="C11" s="6" t="s">
        <v>217</v>
      </c>
      <c r="D11" s="6" t="s">
        <v>69</v>
      </c>
      <c r="E11" s="6" t="s">
        <v>80</v>
      </c>
      <c r="F11" s="6"/>
      <c r="G11" s="6"/>
      <c r="H11" s="6"/>
      <c r="I11" s="6"/>
      <c r="J11" s="6" t="s">
        <v>74</v>
      </c>
      <c r="K11" s="7" t="str">
        <f>IFERROR(VLOOKUP(J11,Condensadoras!A:H,7,0),"")</f>
        <v>Azotea - Detrás</v>
      </c>
      <c r="L11" s="7" t="str">
        <f>IFERROR(VLOOKUP(J11,Condensadoras!A:H,8,0),"")</f>
        <v>R-410A</v>
      </c>
      <c r="M11" s="27">
        <v>39083</v>
      </c>
    </row>
    <row r="12" spans="1:18" x14ac:dyDescent="0.35">
      <c r="A12" s="6">
        <v>14</v>
      </c>
      <c r="B12" s="6">
        <v>1</v>
      </c>
      <c r="C12" s="6" t="s">
        <v>217</v>
      </c>
      <c r="D12" s="6" t="s">
        <v>69</v>
      </c>
      <c r="E12" s="6" t="s">
        <v>81</v>
      </c>
      <c r="F12" s="6"/>
      <c r="G12" s="6"/>
      <c r="H12" s="6"/>
      <c r="I12" s="6"/>
      <c r="J12" s="6" t="s">
        <v>74</v>
      </c>
      <c r="K12" s="7" t="str">
        <f>IFERROR(VLOOKUP(J12,Condensadoras!A:H,7,0),"")</f>
        <v>Azotea - Detrás</v>
      </c>
      <c r="L12" s="7" t="str">
        <f>IFERROR(VLOOKUP(J12,Condensadoras!A:H,8,0),"")</f>
        <v>R-410A</v>
      </c>
      <c r="M12" s="27">
        <v>39083</v>
      </c>
    </row>
    <row r="13" spans="1:18" x14ac:dyDescent="0.35">
      <c r="A13" s="6">
        <v>15</v>
      </c>
      <c r="B13" s="6">
        <v>1</v>
      </c>
      <c r="C13" s="6" t="s">
        <v>217</v>
      </c>
      <c r="D13" s="6" t="s">
        <v>69</v>
      </c>
      <c r="E13" s="6" t="s">
        <v>82</v>
      </c>
      <c r="F13" s="6"/>
      <c r="G13" s="6"/>
      <c r="H13" s="6"/>
      <c r="I13" s="6"/>
      <c r="J13" s="6" t="s">
        <v>74</v>
      </c>
      <c r="K13" s="7" t="str">
        <f>IFERROR(VLOOKUP(J13,Condensadoras!A:H,7,0),"")</f>
        <v>Azotea - Detrás</v>
      </c>
      <c r="L13" s="7" t="str">
        <f>IFERROR(VLOOKUP(J13,Condensadoras!A:H,8,0),"")</f>
        <v>R-410A</v>
      </c>
      <c r="M13" s="27">
        <v>39083</v>
      </c>
    </row>
    <row r="14" spans="1:18" x14ac:dyDescent="0.35">
      <c r="A14" s="6">
        <v>16</v>
      </c>
      <c r="B14" s="6">
        <v>1</v>
      </c>
      <c r="C14" s="6" t="s">
        <v>217</v>
      </c>
      <c r="D14" s="6" t="s">
        <v>69</v>
      </c>
      <c r="E14" s="6" t="s">
        <v>83</v>
      </c>
      <c r="F14" s="6"/>
      <c r="G14" s="6"/>
      <c r="H14" s="6"/>
      <c r="I14" s="6"/>
      <c r="J14" s="6" t="s">
        <v>74</v>
      </c>
      <c r="K14" s="7" t="str">
        <f>IFERROR(VLOOKUP(J14,Condensadoras!A:H,7,0),"")</f>
        <v>Azotea - Detrás</v>
      </c>
      <c r="L14" s="7" t="str">
        <f>IFERROR(VLOOKUP(J14,Condensadoras!A:H,8,0),"")</f>
        <v>R-410A</v>
      </c>
      <c r="M14" s="27">
        <v>39083</v>
      </c>
    </row>
    <row r="15" spans="1:18" x14ac:dyDescent="0.35">
      <c r="A15" s="6">
        <v>17</v>
      </c>
      <c r="B15" s="6">
        <v>1</v>
      </c>
      <c r="C15" s="6" t="s">
        <v>217</v>
      </c>
      <c r="D15" s="6" t="s">
        <v>69</v>
      </c>
      <c r="E15" s="6" t="s">
        <v>71</v>
      </c>
      <c r="F15" s="6"/>
      <c r="G15" s="6"/>
      <c r="H15" s="6"/>
      <c r="I15" s="6"/>
      <c r="J15" s="6" t="s">
        <v>74</v>
      </c>
      <c r="K15" s="7" t="str">
        <f>IFERROR(VLOOKUP(J15,Condensadoras!A:H,7,0),"")</f>
        <v>Azotea - Detrás</v>
      </c>
      <c r="L15" s="7" t="str">
        <f>IFERROR(VLOOKUP(J15,Condensadoras!A:H,8,0),"")</f>
        <v>R-410A</v>
      </c>
      <c r="M15" s="27"/>
    </row>
    <row r="16" spans="1:18" x14ac:dyDescent="0.35">
      <c r="A16" s="6" t="s">
        <v>131</v>
      </c>
      <c r="B16" s="6">
        <v>1</v>
      </c>
      <c r="C16" s="6" t="s">
        <v>217</v>
      </c>
      <c r="D16" s="6" t="s">
        <v>69</v>
      </c>
      <c r="E16" s="6" t="s">
        <v>132</v>
      </c>
      <c r="F16" s="6"/>
      <c r="G16" s="6"/>
      <c r="H16" s="6"/>
      <c r="I16" s="6"/>
      <c r="J16" s="6" t="s">
        <v>129</v>
      </c>
      <c r="K16" s="7" t="str">
        <f>IFERROR(VLOOKUP(J16,Condensadoras!A:H,7,0),"")</f>
        <v>Patio Olivera</v>
      </c>
      <c r="L16" s="7" t="str">
        <f>IFERROR(VLOOKUP(J16,Condensadoras!A:H,8,0),"")</f>
        <v>R-410A</v>
      </c>
      <c r="M16" s="27"/>
    </row>
    <row r="17" spans="1:13" x14ac:dyDescent="0.35">
      <c r="A17" s="6">
        <v>40</v>
      </c>
      <c r="B17" s="6">
        <v>1</v>
      </c>
      <c r="C17" s="6" t="s">
        <v>217</v>
      </c>
      <c r="D17" s="6" t="s">
        <v>69</v>
      </c>
      <c r="E17" s="6" t="s">
        <v>134</v>
      </c>
      <c r="F17" s="6"/>
      <c r="G17" s="6"/>
      <c r="H17" s="6"/>
      <c r="I17" s="6"/>
      <c r="J17" s="6" t="s">
        <v>133</v>
      </c>
      <c r="K17" s="7" t="str">
        <f>IFERROR(VLOOKUP(J17,Condensadoras!A:H,7,0),"")</f>
        <v>Patio Olivera</v>
      </c>
      <c r="L17" s="7" t="str">
        <f>IFERROR(VLOOKUP(J17,Condensadoras!A:H,8,0),"")</f>
        <v>R-32</v>
      </c>
      <c r="M17" s="27"/>
    </row>
    <row r="18" spans="1:13" x14ac:dyDescent="0.35">
      <c r="A18" s="6" t="s">
        <v>137</v>
      </c>
      <c r="B18" s="6">
        <v>1</v>
      </c>
      <c r="C18" s="6" t="s">
        <v>217</v>
      </c>
      <c r="D18" s="6" t="s">
        <v>69</v>
      </c>
      <c r="E18" s="6" t="s">
        <v>138</v>
      </c>
      <c r="F18" s="6"/>
      <c r="G18" s="6"/>
      <c r="H18" s="6"/>
      <c r="I18" s="6"/>
      <c r="J18" s="6" t="s">
        <v>135</v>
      </c>
      <c r="K18" s="7" t="str">
        <f>IFERROR(VLOOKUP(J18,Condensadoras!A:H,7,0),"")</f>
        <v>Azotea-Detrás</v>
      </c>
      <c r="L18" s="7" t="str">
        <f>IFERROR(VLOOKUP(J18,Condensadoras!A:H,8,0),"")</f>
        <v>R-410A</v>
      </c>
      <c r="M18" s="27"/>
    </row>
    <row r="19" spans="1:13" x14ac:dyDescent="0.35">
      <c r="A19" s="20">
        <v>45</v>
      </c>
      <c r="B19" s="6">
        <v>1</v>
      </c>
      <c r="C19" s="6" t="s">
        <v>217</v>
      </c>
      <c r="D19" s="20" t="s">
        <v>69</v>
      </c>
      <c r="E19" s="20" t="s">
        <v>155</v>
      </c>
      <c r="F19" s="20" t="s">
        <v>166</v>
      </c>
      <c r="G19" s="20" t="s">
        <v>167</v>
      </c>
      <c r="H19" s="20" t="s">
        <v>168</v>
      </c>
      <c r="I19" s="20"/>
      <c r="J19" s="20" t="s">
        <v>154</v>
      </c>
      <c r="K19" s="7" t="str">
        <f>IFERROR(VLOOKUP(J19,Condensadoras!A:H,7,0),"")</f>
        <v>Azotea - Detrás</v>
      </c>
      <c r="L19" s="7" t="str">
        <f>IFERROR(VLOOKUP(J19,Condensadoras!A:H,8,0),"")</f>
        <v>R-410A</v>
      </c>
      <c r="M19" s="27"/>
    </row>
    <row r="20" spans="1:13" x14ac:dyDescent="0.35">
      <c r="A20" s="20">
        <v>46</v>
      </c>
      <c r="B20" s="6">
        <v>1</v>
      </c>
      <c r="C20" s="6" t="s">
        <v>217</v>
      </c>
      <c r="D20" s="20" t="s">
        <v>69</v>
      </c>
      <c r="E20" s="20" t="s">
        <v>156</v>
      </c>
      <c r="F20" s="20" t="s">
        <v>166</v>
      </c>
      <c r="G20" s="20" t="s">
        <v>167</v>
      </c>
      <c r="H20" s="20" t="s">
        <v>168</v>
      </c>
      <c r="I20" s="20"/>
      <c r="J20" s="20" t="s">
        <v>154</v>
      </c>
      <c r="K20" s="7" t="str">
        <f>IFERROR(VLOOKUP(J20,Condensadoras!A:H,7,0),"")</f>
        <v>Azotea - Detrás</v>
      </c>
      <c r="L20" s="7" t="str">
        <f>IFERROR(VLOOKUP(J20,Condensadoras!A:H,8,0),"")</f>
        <v>R-410A</v>
      </c>
      <c r="M20" s="27"/>
    </row>
    <row r="21" spans="1:13" x14ac:dyDescent="0.35">
      <c r="A21" s="20">
        <v>47</v>
      </c>
      <c r="B21" s="6">
        <v>1</v>
      </c>
      <c r="C21" s="6" t="s">
        <v>217</v>
      </c>
      <c r="D21" s="20" t="s">
        <v>69</v>
      </c>
      <c r="E21" s="20" t="s">
        <v>157</v>
      </c>
      <c r="F21" s="20" t="s">
        <v>166</v>
      </c>
      <c r="G21" s="20" t="s">
        <v>167</v>
      </c>
      <c r="H21" s="20" t="s">
        <v>168</v>
      </c>
      <c r="I21" s="20"/>
      <c r="J21" s="20" t="s">
        <v>154</v>
      </c>
      <c r="K21" s="7" t="str">
        <f>IFERROR(VLOOKUP(J21,Condensadoras!A:H,7,0),"")</f>
        <v>Azotea - Detrás</v>
      </c>
      <c r="L21" s="7" t="str">
        <f>IFERROR(VLOOKUP(J21,Condensadoras!A:H,8,0),"")</f>
        <v>R-410A</v>
      </c>
      <c r="M21" s="27"/>
    </row>
    <row r="22" spans="1:13" x14ac:dyDescent="0.35">
      <c r="A22" s="20">
        <v>48</v>
      </c>
      <c r="B22" s="6">
        <v>1</v>
      </c>
      <c r="C22" s="6" t="s">
        <v>217</v>
      </c>
      <c r="D22" s="20" t="s">
        <v>69</v>
      </c>
      <c r="E22" s="25" t="s">
        <v>158</v>
      </c>
      <c r="F22" s="20" t="s">
        <v>166</v>
      </c>
      <c r="G22" s="20" t="s">
        <v>167</v>
      </c>
      <c r="H22" s="20" t="s">
        <v>168</v>
      </c>
      <c r="I22" s="20"/>
      <c r="J22" s="20" t="s">
        <v>154</v>
      </c>
      <c r="K22" s="7" t="str">
        <f>IFERROR(VLOOKUP(J22,Condensadoras!A:H,7,0),"")</f>
        <v>Azotea - Detrás</v>
      </c>
      <c r="L22" s="7" t="str">
        <f>IFERROR(VLOOKUP(J22,Condensadoras!A:H,8,0),"")</f>
        <v>R-410A</v>
      </c>
      <c r="M22" s="27"/>
    </row>
    <row r="23" spans="1:13" x14ac:dyDescent="0.35">
      <c r="A23" s="20">
        <v>49</v>
      </c>
      <c r="B23" s="6">
        <v>1</v>
      </c>
      <c r="C23" s="6" t="s">
        <v>217</v>
      </c>
      <c r="D23" s="20" t="s">
        <v>69</v>
      </c>
      <c r="E23" s="25" t="s">
        <v>159</v>
      </c>
      <c r="F23" s="20" t="s">
        <v>166</v>
      </c>
      <c r="G23" s="20" t="s">
        <v>167</v>
      </c>
      <c r="H23" s="20" t="s">
        <v>168</v>
      </c>
      <c r="I23" s="20"/>
      <c r="J23" s="20" t="s">
        <v>154</v>
      </c>
      <c r="K23" s="7" t="str">
        <f>IFERROR(VLOOKUP(J23,Condensadoras!A:H,7,0),"")</f>
        <v>Azotea - Detrás</v>
      </c>
      <c r="L23" s="7" t="str">
        <f>IFERROR(VLOOKUP(J23,Condensadoras!A:H,8,0),"")</f>
        <v>R-410A</v>
      </c>
      <c r="M23" s="27">
        <v>40909</v>
      </c>
    </row>
    <row r="24" spans="1:13" x14ac:dyDescent="0.35">
      <c r="A24" s="6">
        <v>32</v>
      </c>
      <c r="B24" s="6">
        <v>1</v>
      </c>
      <c r="C24" s="6" t="s">
        <v>217</v>
      </c>
      <c r="D24" s="6" t="s">
        <v>49</v>
      </c>
      <c r="E24" s="6" t="s">
        <v>54</v>
      </c>
      <c r="F24" s="6"/>
      <c r="G24" s="6"/>
      <c r="H24" s="6"/>
      <c r="I24" s="6"/>
      <c r="J24" s="6" t="s">
        <v>48</v>
      </c>
      <c r="K24" s="7" t="str">
        <f>IFERROR(VLOOKUP(J24,Condensadoras!A:H,7,0),"")</f>
        <v>Azotea - Detrás</v>
      </c>
      <c r="L24" s="7" t="str">
        <f>IFERROR(VLOOKUP(J24,Condensadoras!A:H,8,0),"")</f>
        <v>R-410A</v>
      </c>
      <c r="M24" s="27">
        <v>40909</v>
      </c>
    </row>
    <row r="25" spans="1:13" x14ac:dyDescent="0.35">
      <c r="A25" s="6">
        <v>33</v>
      </c>
      <c r="B25" s="6">
        <v>1</v>
      </c>
      <c r="C25" s="6" t="s">
        <v>217</v>
      </c>
      <c r="D25" s="6" t="s">
        <v>49</v>
      </c>
      <c r="E25" s="6" t="s">
        <v>50</v>
      </c>
      <c r="F25" s="6"/>
      <c r="G25" s="6"/>
      <c r="H25" s="6"/>
      <c r="I25" s="6"/>
      <c r="J25" s="6" t="s">
        <v>48</v>
      </c>
      <c r="K25" s="7" t="str">
        <f>IFERROR(VLOOKUP(J25,Condensadoras!A:H,7,0),"")</f>
        <v>Azotea - Detrás</v>
      </c>
      <c r="L25" s="7" t="str">
        <f>IFERROR(VLOOKUP(J25,Condensadoras!A:H,8,0),"")</f>
        <v>R-410A</v>
      </c>
      <c r="M25" s="27">
        <v>40909</v>
      </c>
    </row>
    <row r="26" spans="1:13" x14ac:dyDescent="0.35">
      <c r="A26" s="6">
        <v>34</v>
      </c>
      <c r="B26" s="6">
        <v>1</v>
      </c>
      <c r="C26" s="6" t="s">
        <v>217</v>
      </c>
      <c r="D26" s="6" t="s">
        <v>49</v>
      </c>
      <c r="E26" s="6" t="s">
        <v>51</v>
      </c>
      <c r="F26" s="6"/>
      <c r="G26" s="6"/>
      <c r="H26" s="6"/>
      <c r="I26" s="6"/>
      <c r="J26" s="6" t="s">
        <v>48</v>
      </c>
      <c r="K26" s="7" t="str">
        <f>IFERROR(VLOOKUP(J26,Condensadoras!A:H,7,0),"")</f>
        <v>Azotea - Detrás</v>
      </c>
      <c r="L26" s="7" t="str">
        <f>IFERROR(VLOOKUP(J26,Condensadoras!A:H,8,0),"")</f>
        <v>R-410A</v>
      </c>
      <c r="M26" s="27">
        <v>40909</v>
      </c>
    </row>
    <row r="27" spans="1:13" x14ac:dyDescent="0.35">
      <c r="A27" s="6">
        <v>35</v>
      </c>
      <c r="B27" s="6">
        <v>1</v>
      </c>
      <c r="C27" s="6" t="s">
        <v>217</v>
      </c>
      <c r="D27" s="6" t="s">
        <v>49</v>
      </c>
      <c r="E27" s="6" t="s">
        <v>52</v>
      </c>
      <c r="F27" s="6"/>
      <c r="G27" s="6"/>
      <c r="H27" s="6"/>
      <c r="I27" s="6"/>
      <c r="J27" s="6" t="s">
        <v>48</v>
      </c>
      <c r="K27" s="7" t="str">
        <f>IFERROR(VLOOKUP(J27,Condensadoras!A:H,7,0),"")</f>
        <v>Azotea - Detrás</v>
      </c>
      <c r="L27" s="7" t="str">
        <f>IFERROR(VLOOKUP(J27,Condensadoras!A:H,8,0),"")</f>
        <v>R-410A</v>
      </c>
      <c r="M27" s="27">
        <v>40909</v>
      </c>
    </row>
    <row r="28" spans="1:13" x14ac:dyDescent="0.35">
      <c r="A28" s="6">
        <v>36</v>
      </c>
      <c r="B28" s="6">
        <v>1</v>
      </c>
      <c r="C28" s="6" t="s">
        <v>217</v>
      </c>
      <c r="D28" s="6" t="s">
        <v>49</v>
      </c>
      <c r="E28" s="6" t="s">
        <v>55</v>
      </c>
      <c r="F28" s="6"/>
      <c r="G28" s="6"/>
      <c r="H28" s="6"/>
      <c r="I28" s="6"/>
      <c r="J28" s="6" t="s">
        <v>48</v>
      </c>
      <c r="K28" s="7" t="str">
        <f>IFERROR(VLOOKUP(J28,Condensadoras!A:H,7,0),"")</f>
        <v>Azotea - Detrás</v>
      </c>
      <c r="L28" s="7" t="str">
        <f>IFERROR(VLOOKUP(J28,Condensadoras!A:H,8,0),"")</f>
        <v>R-410A</v>
      </c>
      <c r="M28" s="27">
        <v>40909</v>
      </c>
    </row>
    <row r="29" spans="1:13" x14ac:dyDescent="0.35">
      <c r="A29" s="6">
        <v>37</v>
      </c>
      <c r="B29" s="6">
        <v>1</v>
      </c>
      <c r="C29" s="6" t="s">
        <v>217</v>
      </c>
      <c r="D29" s="6" t="s">
        <v>49</v>
      </c>
      <c r="E29" s="6" t="s">
        <v>56</v>
      </c>
      <c r="F29" s="6"/>
      <c r="G29" s="6"/>
      <c r="H29" s="6"/>
      <c r="I29" s="6"/>
      <c r="J29" s="6" t="s">
        <v>48</v>
      </c>
      <c r="K29" s="7" t="str">
        <f>IFERROR(VLOOKUP(J29,Condensadoras!A:H,7,0),"")</f>
        <v>Azotea - Detrás</v>
      </c>
      <c r="L29" s="7" t="str">
        <f>IFERROR(VLOOKUP(J29,Condensadoras!A:H,8,0),"")</f>
        <v>R-410A</v>
      </c>
      <c r="M29" s="27">
        <v>40909</v>
      </c>
    </row>
    <row r="30" spans="1:13" x14ac:dyDescent="0.35">
      <c r="A30" s="6">
        <v>38</v>
      </c>
      <c r="B30" s="6">
        <v>1</v>
      </c>
      <c r="C30" s="6" t="s">
        <v>217</v>
      </c>
      <c r="D30" s="6" t="s">
        <v>49</v>
      </c>
      <c r="E30" s="6" t="s">
        <v>57</v>
      </c>
      <c r="F30" s="6"/>
      <c r="G30" s="6"/>
      <c r="H30" s="6"/>
      <c r="I30" s="6"/>
      <c r="J30" s="6" t="s">
        <v>48</v>
      </c>
      <c r="K30" s="7" t="str">
        <f>IFERROR(VLOOKUP(J30,Condensadoras!A:H,7,0),"")</f>
        <v>Azotea - Detrás</v>
      </c>
      <c r="L30" s="7" t="str">
        <f>IFERROR(VLOOKUP(J30,Condensadoras!A:H,8,0),"")</f>
        <v>R-410A</v>
      </c>
      <c r="M30" s="27">
        <v>40909</v>
      </c>
    </row>
    <row r="31" spans="1:13" x14ac:dyDescent="0.35">
      <c r="A31" s="6">
        <v>39</v>
      </c>
      <c r="B31" s="6">
        <v>1</v>
      </c>
      <c r="C31" s="6" t="s">
        <v>217</v>
      </c>
      <c r="D31" s="6" t="s">
        <v>49</v>
      </c>
      <c r="E31" s="6" t="s">
        <v>53</v>
      </c>
      <c r="F31" s="6"/>
      <c r="G31" s="6"/>
      <c r="H31" s="6"/>
      <c r="I31" s="6"/>
      <c r="J31" s="6" t="s">
        <v>48</v>
      </c>
      <c r="K31" s="7" t="str">
        <f>IFERROR(VLOOKUP(J31,Condensadoras!A:H,7,0),"")</f>
        <v>Azotea - Detrás</v>
      </c>
      <c r="L31" s="7" t="str">
        <f>IFERROR(VLOOKUP(J31,Condensadoras!A:H,8,0),"")</f>
        <v>R-410A</v>
      </c>
      <c r="M31" s="27">
        <v>40909</v>
      </c>
    </row>
    <row r="32" spans="1:13" x14ac:dyDescent="0.35">
      <c r="A32" s="6">
        <v>40</v>
      </c>
      <c r="B32" s="6">
        <v>1</v>
      </c>
      <c r="C32" s="6" t="s">
        <v>217</v>
      </c>
      <c r="D32" s="6" t="s">
        <v>49</v>
      </c>
      <c r="E32" s="6" t="s">
        <v>58</v>
      </c>
      <c r="F32" s="6"/>
      <c r="G32" s="6"/>
      <c r="H32" s="6"/>
      <c r="I32" s="6"/>
      <c r="J32" s="6" t="s">
        <v>48</v>
      </c>
      <c r="K32" s="7" t="str">
        <f>IFERROR(VLOOKUP(J32,Condensadoras!A:H,7,0),"")</f>
        <v>Azotea - Detrás</v>
      </c>
      <c r="L32" s="7" t="str">
        <f>IFERROR(VLOOKUP(J32,Condensadoras!A:H,8,0),"")</f>
        <v>R-410A</v>
      </c>
      <c r="M32" s="27">
        <v>40909</v>
      </c>
    </row>
    <row r="33" spans="1:13" x14ac:dyDescent="0.35">
      <c r="A33" s="6">
        <v>41</v>
      </c>
      <c r="B33" s="6">
        <v>1</v>
      </c>
      <c r="C33" s="6" t="s">
        <v>217</v>
      </c>
      <c r="D33" s="6" t="s">
        <v>49</v>
      </c>
      <c r="E33" s="6" t="s">
        <v>59</v>
      </c>
      <c r="F33" s="6"/>
      <c r="G33" s="6"/>
      <c r="H33" s="6"/>
      <c r="I33" s="6"/>
      <c r="J33" s="6" t="s">
        <v>48</v>
      </c>
      <c r="K33" s="7" t="str">
        <f>IFERROR(VLOOKUP(J33,Condensadoras!A:H,7,0),"")</f>
        <v>Azotea - Detrás</v>
      </c>
      <c r="L33" s="7" t="str">
        <f>IFERROR(VLOOKUP(J33,Condensadoras!A:H,8,0),"")</f>
        <v>R-410A</v>
      </c>
      <c r="M33" s="27">
        <v>40909</v>
      </c>
    </row>
    <row r="34" spans="1:13" x14ac:dyDescent="0.35">
      <c r="A34" s="6">
        <v>42</v>
      </c>
      <c r="B34" s="6">
        <v>1</v>
      </c>
      <c r="C34" s="6" t="s">
        <v>217</v>
      </c>
      <c r="D34" s="6" t="s">
        <v>49</v>
      </c>
      <c r="E34" s="6" t="s">
        <v>60</v>
      </c>
      <c r="F34" s="6"/>
      <c r="G34" s="6"/>
      <c r="H34" s="6"/>
      <c r="I34" s="6"/>
      <c r="J34" s="6" t="s">
        <v>48</v>
      </c>
      <c r="K34" s="7" t="str">
        <f>IFERROR(VLOOKUP(J34,Condensadoras!A:H,7,0),"")</f>
        <v>Azotea - Detrás</v>
      </c>
      <c r="L34" s="7" t="str">
        <f>IFERROR(VLOOKUP(J34,Condensadoras!A:H,8,0),"")</f>
        <v>R-410A</v>
      </c>
      <c r="M34" s="27">
        <v>40909</v>
      </c>
    </row>
    <row r="35" spans="1:13" x14ac:dyDescent="0.35">
      <c r="A35" s="6">
        <v>43</v>
      </c>
      <c r="B35" s="6">
        <v>1</v>
      </c>
      <c r="C35" s="6" t="s">
        <v>217</v>
      </c>
      <c r="D35" s="6" t="s">
        <v>49</v>
      </c>
      <c r="E35" s="6" t="s">
        <v>61</v>
      </c>
      <c r="F35" s="6"/>
      <c r="G35" s="6"/>
      <c r="H35" s="6"/>
      <c r="I35" s="6"/>
      <c r="J35" s="6" t="s">
        <v>48</v>
      </c>
      <c r="K35" s="7" t="str">
        <f>IFERROR(VLOOKUP(J35,Condensadoras!A:H,7,0),"")</f>
        <v>Azotea - Detrás</v>
      </c>
      <c r="L35" s="7" t="str">
        <f>IFERROR(VLOOKUP(J35,Condensadoras!A:H,8,0),"")</f>
        <v>R-410A</v>
      </c>
      <c r="M35" s="27">
        <v>40909</v>
      </c>
    </row>
    <row r="36" spans="1:13" x14ac:dyDescent="0.35">
      <c r="A36" s="6" t="s">
        <v>122</v>
      </c>
      <c r="B36" s="6">
        <v>1</v>
      </c>
      <c r="C36" s="6" t="s">
        <v>217</v>
      </c>
      <c r="D36" s="6" t="s">
        <v>49</v>
      </c>
      <c r="E36" s="6" t="s">
        <v>123</v>
      </c>
      <c r="F36" s="6"/>
      <c r="G36" s="6"/>
      <c r="H36" s="6"/>
      <c r="I36" s="6"/>
      <c r="J36" s="6" t="s">
        <v>121</v>
      </c>
      <c r="K36" s="7" t="str">
        <f>IFERROR(VLOOKUP(J36,Condensadoras!A:H,7,0),"")</f>
        <v>Azotea - Frente</v>
      </c>
      <c r="L36" s="7" t="str">
        <f>IFERROR(VLOOKUP(J36,Condensadoras!A:H,8,0),"")</f>
        <v>R-410A</v>
      </c>
      <c r="M36" s="27">
        <v>40909</v>
      </c>
    </row>
    <row r="37" spans="1:13" x14ac:dyDescent="0.35">
      <c r="A37" s="6" t="s">
        <v>125</v>
      </c>
      <c r="B37" s="6">
        <v>1</v>
      </c>
      <c r="C37" s="6" t="s">
        <v>217</v>
      </c>
      <c r="D37" s="6" t="s">
        <v>49</v>
      </c>
      <c r="E37" s="6" t="s">
        <v>52</v>
      </c>
      <c r="F37" s="6"/>
      <c r="G37" s="6"/>
      <c r="H37" s="6"/>
      <c r="I37" s="6"/>
      <c r="J37" s="6" t="s">
        <v>124</v>
      </c>
      <c r="K37" s="7" t="str">
        <f>IFERROR(VLOOKUP(J37,Condensadoras!A:H,7,0),"")</f>
        <v>Azotea - Frente</v>
      </c>
      <c r="L37" s="7" t="str">
        <f>IFERROR(VLOOKUP(J37,Condensadoras!A:H,8,0),"")</f>
        <v>R-410A</v>
      </c>
      <c r="M37" s="27">
        <v>40909</v>
      </c>
    </row>
    <row r="38" spans="1:13" x14ac:dyDescent="0.35">
      <c r="A38" s="6" t="s">
        <v>127</v>
      </c>
      <c r="B38" s="6">
        <v>1</v>
      </c>
      <c r="C38" s="6" t="s">
        <v>217</v>
      </c>
      <c r="D38" s="6" t="s">
        <v>49</v>
      </c>
      <c r="E38" s="6" t="s">
        <v>128</v>
      </c>
      <c r="F38" s="6"/>
      <c r="G38" s="6"/>
      <c r="H38" s="6"/>
      <c r="I38" s="6"/>
      <c r="J38" s="6" t="s">
        <v>126</v>
      </c>
      <c r="K38" s="7" t="str">
        <f>IFERROR(VLOOKUP(J38,Condensadoras!A:H,7,0),"")</f>
        <v>Azotea - Frente</v>
      </c>
      <c r="L38" s="7" t="str">
        <f>IFERROR(VLOOKUP(J38,Condensadoras!A:H,8,0),"")</f>
        <v>R-410A</v>
      </c>
      <c r="M38" s="27">
        <v>40909</v>
      </c>
    </row>
    <row r="39" spans="1:13" x14ac:dyDescent="0.35">
      <c r="A39" s="6" t="s">
        <v>141</v>
      </c>
      <c r="B39" s="6">
        <v>1</v>
      </c>
      <c r="C39" s="6" t="s">
        <v>217</v>
      </c>
      <c r="D39" s="6" t="s">
        <v>49</v>
      </c>
      <c r="E39" s="6" t="s">
        <v>142</v>
      </c>
      <c r="F39" s="6"/>
      <c r="G39" s="6"/>
      <c r="H39" s="6"/>
      <c r="I39" s="6"/>
      <c r="J39" s="6" t="s">
        <v>135</v>
      </c>
      <c r="K39" s="7" t="str">
        <f>IFERROR(VLOOKUP(J39,Condensadoras!A:H,7,0),"")</f>
        <v>Azotea-Detrás</v>
      </c>
      <c r="L39" s="7" t="str">
        <f>IFERROR(VLOOKUP(J39,Condensadoras!A:H,8,0),"")</f>
        <v>R-410A</v>
      </c>
      <c r="M39" s="27">
        <v>40909</v>
      </c>
    </row>
    <row r="40" spans="1:13" x14ac:dyDescent="0.35">
      <c r="A40" s="6" t="s">
        <v>139</v>
      </c>
      <c r="B40" s="6">
        <v>1</v>
      </c>
      <c r="C40" s="6" t="s">
        <v>217</v>
      </c>
      <c r="D40" s="6" t="s">
        <v>49</v>
      </c>
      <c r="E40" s="6" t="s">
        <v>140</v>
      </c>
      <c r="F40" s="6"/>
      <c r="G40" s="6"/>
      <c r="H40" s="6"/>
      <c r="I40" s="6"/>
      <c r="J40" s="6" t="s">
        <v>135</v>
      </c>
      <c r="K40" s="7" t="str">
        <f>IFERROR(VLOOKUP(J40,Condensadoras!A:H,7,0),"")</f>
        <v>Azotea-Detrás</v>
      </c>
      <c r="L40" s="7" t="str">
        <f>IFERROR(VLOOKUP(J40,Condensadoras!A:H,8,0),"")</f>
        <v>R-410A</v>
      </c>
      <c r="M40" s="27">
        <v>40909</v>
      </c>
    </row>
    <row r="41" spans="1:13" x14ac:dyDescent="0.35">
      <c r="A41" s="20">
        <v>44</v>
      </c>
      <c r="B41" s="6">
        <v>1</v>
      </c>
      <c r="C41" s="6" t="s">
        <v>217</v>
      </c>
      <c r="D41" s="20" t="s">
        <v>49</v>
      </c>
      <c r="E41" s="20" t="s">
        <v>160</v>
      </c>
      <c r="F41" s="20" t="s">
        <v>166</v>
      </c>
      <c r="G41" s="20" t="s">
        <v>167</v>
      </c>
      <c r="H41" s="20" t="s">
        <v>168</v>
      </c>
      <c r="I41" s="20"/>
      <c r="J41" s="20" t="s">
        <v>154</v>
      </c>
      <c r="K41" s="7" t="str">
        <f>IFERROR(VLOOKUP(J41,Condensadoras!A:H,7,0),"")</f>
        <v>Azotea - Detrás</v>
      </c>
      <c r="L41" s="7" t="str">
        <f>IFERROR(VLOOKUP(J41,Condensadoras!A:H,8,0),"")</f>
        <v>R-410A</v>
      </c>
      <c r="M41" s="27">
        <v>40909</v>
      </c>
    </row>
    <row r="42" spans="1:13" x14ac:dyDescent="0.35">
      <c r="A42" s="20">
        <v>1</v>
      </c>
      <c r="B42" s="6">
        <v>1</v>
      </c>
      <c r="C42" s="6" t="s">
        <v>217</v>
      </c>
      <c r="D42" s="20" t="s">
        <v>27</v>
      </c>
      <c r="E42" s="20" t="s">
        <v>35</v>
      </c>
      <c r="F42" s="20" t="s">
        <v>167</v>
      </c>
      <c r="G42" s="20" t="s">
        <v>167</v>
      </c>
      <c r="H42" s="20" t="s">
        <v>169</v>
      </c>
      <c r="I42" s="20"/>
      <c r="J42" s="20" t="s">
        <v>26</v>
      </c>
      <c r="K42" s="7" t="str">
        <f>IFERROR(VLOOKUP(J42,Condensadoras!A:H,7,0),"")</f>
        <v>Azotea-Otra Porteria</v>
      </c>
      <c r="L42" s="7" t="str">
        <f>IFERROR(VLOOKUP(J42,Condensadoras!A:H,8,0),"")</f>
        <v>R-410A</v>
      </c>
      <c r="M42" s="27">
        <v>40909</v>
      </c>
    </row>
    <row r="43" spans="1:13" x14ac:dyDescent="0.35">
      <c r="A43" s="20">
        <v>2</v>
      </c>
      <c r="B43" s="6">
        <v>1</v>
      </c>
      <c r="C43" s="6" t="s">
        <v>217</v>
      </c>
      <c r="D43" s="20" t="s">
        <v>27</v>
      </c>
      <c r="E43" s="20" t="s">
        <v>36</v>
      </c>
      <c r="F43" s="20" t="s">
        <v>167</v>
      </c>
      <c r="G43" s="20" t="s">
        <v>167</v>
      </c>
      <c r="H43" s="20" t="s">
        <v>169</v>
      </c>
      <c r="I43" s="20"/>
      <c r="J43" s="20" t="s">
        <v>26</v>
      </c>
      <c r="K43" s="7" t="str">
        <f>IFERROR(VLOOKUP(J43,Condensadoras!A:H,7,0),"")</f>
        <v>Azotea-Otra Porteria</v>
      </c>
      <c r="L43" s="7" t="str">
        <f>IFERROR(VLOOKUP(J43,Condensadoras!A:H,8,0),"")</f>
        <v>R-410A</v>
      </c>
      <c r="M43" s="27">
        <v>40909</v>
      </c>
    </row>
    <row r="44" spans="1:13" x14ac:dyDescent="0.35">
      <c r="A44" s="20">
        <v>3</v>
      </c>
      <c r="B44" s="6">
        <v>1</v>
      </c>
      <c r="C44" s="6" t="s">
        <v>217</v>
      </c>
      <c r="D44" s="20" t="s">
        <v>27</v>
      </c>
      <c r="E44" s="20" t="s">
        <v>29</v>
      </c>
      <c r="F44" s="20" t="s">
        <v>167</v>
      </c>
      <c r="G44" s="20" t="s">
        <v>167</v>
      </c>
      <c r="H44" s="20" t="s">
        <v>169</v>
      </c>
      <c r="I44" s="20"/>
      <c r="J44" s="20" t="s">
        <v>26</v>
      </c>
      <c r="K44" s="7" t="str">
        <f>IFERROR(VLOOKUP(J44,Condensadoras!A:H,7,0),"")</f>
        <v>Azotea-Otra Porteria</v>
      </c>
      <c r="L44" s="7" t="str">
        <f>IFERROR(VLOOKUP(J44,Condensadoras!A:H,8,0),"")</f>
        <v>R-410A</v>
      </c>
      <c r="M44" s="27">
        <v>40909</v>
      </c>
    </row>
    <row r="45" spans="1:13" x14ac:dyDescent="0.35">
      <c r="A45" s="20">
        <v>4</v>
      </c>
      <c r="B45" s="6">
        <v>1</v>
      </c>
      <c r="C45" s="6" t="s">
        <v>217</v>
      </c>
      <c r="D45" s="20" t="s">
        <v>27</v>
      </c>
      <c r="E45" s="20" t="s">
        <v>30</v>
      </c>
      <c r="F45" s="20" t="s">
        <v>167</v>
      </c>
      <c r="G45" s="20" t="s">
        <v>167</v>
      </c>
      <c r="H45" s="20" t="s">
        <v>169</v>
      </c>
      <c r="I45" s="20"/>
      <c r="J45" s="20" t="s">
        <v>26</v>
      </c>
      <c r="K45" s="7" t="str">
        <f>IFERROR(VLOOKUP(J45,Condensadoras!A:H,7,0),"")</f>
        <v>Azotea-Otra Porteria</v>
      </c>
      <c r="L45" s="7" t="str">
        <f>IFERROR(VLOOKUP(J45,Condensadoras!A:H,8,0),"")</f>
        <v>R-410A</v>
      </c>
      <c r="M45" s="27">
        <v>39083</v>
      </c>
    </row>
    <row r="46" spans="1:13" x14ac:dyDescent="0.35">
      <c r="A46" s="20">
        <v>5</v>
      </c>
      <c r="B46" s="6">
        <v>1</v>
      </c>
      <c r="C46" s="6" t="s">
        <v>217</v>
      </c>
      <c r="D46" s="20" t="s">
        <v>27</v>
      </c>
      <c r="E46" s="20" t="s">
        <v>31</v>
      </c>
      <c r="F46" s="20" t="s">
        <v>167</v>
      </c>
      <c r="G46" s="20" t="s">
        <v>167</v>
      </c>
      <c r="H46" s="20" t="s">
        <v>169</v>
      </c>
      <c r="I46" s="20"/>
      <c r="J46" s="20" t="s">
        <v>26</v>
      </c>
      <c r="K46" s="7" t="str">
        <f>IFERROR(VLOOKUP(J46,Condensadoras!A:H,7,0),"")</f>
        <v>Azotea-Otra Porteria</v>
      </c>
      <c r="L46" s="7" t="str">
        <f>IFERROR(VLOOKUP(J46,Condensadoras!A:H,8,0),"")</f>
        <v>R-410A</v>
      </c>
      <c r="M46" s="27">
        <v>39083</v>
      </c>
    </row>
    <row r="47" spans="1:13" x14ac:dyDescent="0.35">
      <c r="A47" s="20">
        <v>6</v>
      </c>
      <c r="B47" s="6">
        <v>1</v>
      </c>
      <c r="C47" s="6" t="s">
        <v>217</v>
      </c>
      <c r="D47" s="20" t="s">
        <v>27</v>
      </c>
      <c r="E47" s="20" t="s">
        <v>32</v>
      </c>
      <c r="F47" s="20" t="s">
        <v>167</v>
      </c>
      <c r="G47" s="20" t="s">
        <v>167</v>
      </c>
      <c r="H47" s="20" t="s">
        <v>169</v>
      </c>
      <c r="I47" s="20"/>
      <c r="J47" s="20" t="s">
        <v>26</v>
      </c>
      <c r="K47" s="7" t="str">
        <f>IFERROR(VLOOKUP(J47,Condensadoras!A:H,7,0),"")</f>
        <v>Azotea-Otra Porteria</v>
      </c>
      <c r="L47" s="7" t="str">
        <f>IFERROR(VLOOKUP(J47,Condensadoras!A:H,8,0),"")</f>
        <v>R-410A</v>
      </c>
      <c r="M47" s="27">
        <v>40909</v>
      </c>
    </row>
    <row r="48" spans="1:13" x14ac:dyDescent="0.35">
      <c r="A48" s="20">
        <v>41</v>
      </c>
      <c r="B48" s="6">
        <v>1</v>
      </c>
      <c r="C48" s="6" t="s">
        <v>217</v>
      </c>
      <c r="D48" s="20" t="s">
        <v>27</v>
      </c>
      <c r="E48" s="20" t="s">
        <v>33</v>
      </c>
      <c r="F48" s="20" t="s">
        <v>167</v>
      </c>
      <c r="G48" s="20" t="s">
        <v>167</v>
      </c>
      <c r="H48" s="20" t="s">
        <v>169</v>
      </c>
      <c r="I48" s="20"/>
      <c r="J48" s="20" t="s">
        <v>26</v>
      </c>
      <c r="K48" s="7" t="str">
        <f>IFERROR(VLOOKUP(J48,Condensadoras!A:H,7,0),"")</f>
        <v>Azotea-Otra Porteria</v>
      </c>
      <c r="L48" s="7" t="str">
        <f>IFERROR(VLOOKUP(J48,Condensadoras!A:H,8,0),"")</f>
        <v>R-410A</v>
      </c>
      <c r="M48" s="27">
        <v>40909</v>
      </c>
    </row>
    <row r="49" spans="1:13" x14ac:dyDescent="0.35">
      <c r="A49" s="20">
        <v>42</v>
      </c>
      <c r="B49" s="6">
        <v>1</v>
      </c>
      <c r="C49" s="6" t="s">
        <v>217</v>
      </c>
      <c r="D49" s="20" t="s">
        <v>27</v>
      </c>
      <c r="E49" s="20" t="s">
        <v>34</v>
      </c>
      <c r="F49" s="20" t="s">
        <v>167</v>
      </c>
      <c r="G49" s="20" t="s">
        <v>167</v>
      </c>
      <c r="H49" s="20" t="s">
        <v>169</v>
      </c>
      <c r="I49" s="20"/>
      <c r="J49" s="20" t="s">
        <v>26</v>
      </c>
      <c r="K49" s="7" t="str">
        <f>IFERROR(VLOOKUP(J49,Condensadoras!A:H,7,0),"")</f>
        <v>Azotea-Otra Porteria</v>
      </c>
      <c r="L49" s="7" t="str">
        <f>IFERROR(VLOOKUP(J49,Condensadoras!A:H,8,0),"")</f>
        <v>R-410A</v>
      </c>
      <c r="M49" s="27">
        <v>40909</v>
      </c>
    </row>
    <row r="50" spans="1:13" x14ac:dyDescent="0.35">
      <c r="A50" s="6">
        <v>17</v>
      </c>
      <c r="B50" s="6">
        <v>1</v>
      </c>
      <c r="C50" s="6" t="s">
        <v>217</v>
      </c>
      <c r="D50" s="6" t="s">
        <v>27</v>
      </c>
      <c r="E50" s="6" t="s">
        <v>38</v>
      </c>
      <c r="F50" s="6"/>
      <c r="G50" s="6"/>
      <c r="H50" s="6"/>
      <c r="I50" s="6"/>
      <c r="J50" s="6" t="s">
        <v>37</v>
      </c>
      <c r="K50" s="7" t="str">
        <f>IFERROR(VLOOKUP(J50,Condensadoras!A:H,7,0),"")</f>
        <v>Azotea - Detrás</v>
      </c>
      <c r="L50" s="7" t="str">
        <f>IFERROR(VLOOKUP(J50,Condensadoras!A:H,8,0),"")</f>
        <v>R-410A</v>
      </c>
      <c r="M50" s="27">
        <v>40909</v>
      </c>
    </row>
    <row r="51" spans="1:13" x14ac:dyDescent="0.35">
      <c r="A51" s="6">
        <v>18</v>
      </c>
      <c r="B51" s="6">
        <v>1</v>
      </c>
      <c r="C51" s="6" t="s">
        <v>217</v>
      </c>
      <c r="D51" s="6" t="s">
        <v>27</v>
      </c>
      <c r="E51" s="6" t="s">
        <v>47</v>
      </c>
      <c r="F51" s="6"/>
      <c r="G51" s="6"/>
      <c r="H51" s="6"/>
      <c r="I51" s="6"/>
      <c r="J51" s="6" t="s">
        <v>37</v>
      </c>
      <c r="K51" s="7" t="str">
        <f>IFERROR(VLOOKUP(J51,Condensadoras!A:H,7,0),"")</f>
        <v>Azotea - Detrás</v>
      </c>
      <c r="L51" s="7" t="str">
        <f>IFERROR(VLOOKUP(J51,Condensadoras!A:H,8,0),"")</f>
        <v>R-410A</v>
      </c>
      <c r="M51" s="27">
        <v>40909</v>
      </c>
    </row>
    <row r="52" spans="1:13" x14ac:dyDescent="0.35">
      <c r="A52" s="6">
        <v>19</v>
      </c>
      <c r="B52" s="6">
        <v>1</v>
      </c>
      <c r="C52" s="6" t="s">
        <v>217</v>
      </c>
      <c r="D52" s="6" t="s">
        <v>27</v>
      </c>
      <c r="E52" s="6" t="s">
        <v>39</v>
      </c>
      <c r="F52" s="6"/>
      <c r="G52" s="6"/>
      <c r="H52" s="6"/>
      <c r="I52" s="6"/>
      <c r="J52" s="6" t="s">
        <v>37</v>
      </c>
      <c r="K52" s="7" t="str">
        <f>IFERROR(VLOOKUP(J52,Condensadoras!A:H,7,0),"")</f>
        <v>Azotea - Detrás</v>
      </c>
      <c r="L52" s="7" t="str">
        <f>IFERROR(VLOOKUP(J52,Condensadoras!A:H,8,0),"")</f>
        <v>R-410A</v>
      </c>
      <c r="M52" s="27">
        <v>40909</v>
      </c>
    </row>
    <row r="53" spans="1:13" x14ac:dyDescent="0.35">
      <c r="A53" s="6">
        <v>20</v>
      </c>
      <c r="B53" s="6">
        <v>1</v>
      </c>
      <c r="C53" s="6" t="s">
        <v>217</v>
      </c>
      <c r="D53" s="6" t="s">
        <v>27</v>
      </c>
      <c r="E53" s="6" t="s">
        <v>40</v>
      </c>
      <c r="F53" s="6"/>
      <c r="G53" s="6"/>
      <c r="H53" s="6"/>
      <c r="I53" s="6"/>
      <c r="J53" s="6" t="s">
        <v>37</v>
      </c>
      <c r="K53" s="7" t="str">
        <f>IFERROR(VLOOKUP(J53,Condensadoras!A:H,7,0),"")</f>
        <v>Azotea - Detrás</v>
      </c>
      <c r="L53" s="7" t="str">
        <f>IFERROR(VLOOKUP(J53,Condensadoras!A:H,8,0),"")</f>
        <v>R-410A</v>
      </c>
      <c r="M53" s="27">
        <v>40909</v>
      </c>
    </row>
    <row r="54" spans="1:13" x14ac:dyDescent="0.35">
      <c r="A54" s="6">
        <v>21</v>
      </c>
      <c r="B54" s="6">
        <v>1</v>
      </c>
      <c r="C54" s="6" t="s">
        <v>217</v>
      </c>
      <c r="D54" s="6" t="s">
        <v>27</v>
      </c>
      <c r="E54" s="6" t="s">
        <v>41</v>
      </c>
      <c r="F54" s="6"/>
      <c r="G54" s="6"/>
      <c r="H54" s="6"/>
      <c r="I54" s="6"/>
      <c r="J54" s="6" t="s">
        <v>37</v>
      </c>
      <c r="K54" s="7" t="str">
        <f>IFERROR(VLOOKUP(J54,Condensadoras!A:H,7,0),"")</f>
        <v>Azotea - Detrás</v>
      </c>
      <c r="L54" s="7" t="str">
        <f>IFERROR(VLOOKUP(J54,Condensadoras!A:H,8,0),"")</f>
        <v>R-410A</v>
      </c>
      <c r="M54" s="27">
        <v>40909</v>
      </c>
    </row>
    <row r="55" spans="1:13" x14ac:dyDescent="0.35">
      <c r="A55" s="6">
        <v>22</v>
      </c>
      <c r="B55" s="6">
        <v>1</v>
      </c>
      <c r="C55" s="6" t="s">
        <v>217</v>
      </c>
      <c r="D55" s="6" t="s">
        <v>27</v>
      </c>
      <c r="E55" s="6" t="s">
        <v>42</v>
      </c>
      <c r="F55" s="6"/>
      <c r="G55" s="6"/>
      <c r="H55" s="6"/>
      <c r="I55" s="6"/>
      <c r="J55" s="6" t="s">
        <v>37</v>
      </c>
      <c r="K55" s="7" t="str">
        <f>IFERROR(VLOOKUP(J55,Condensadoras!A:H,7,0),"")</f>
        <v>Azotea - Detrás</v>
      </c>
      <c r="L55" s="7" t="str">
        <f>IFERROR(VLOOKUP(J55,Condensadoras!A:H,8,0),"")</f>
        <v>R-410A</v>
      </c>
      <c r="M55" s="27">
        <v>40909</v>
      </c>
    </row>
    <row r="56" spans="1:13" x14ac:dyDescent="0.35">
      <c r="A56" s="6">
        <v>23</v>
      </c>
      <c r="B56" s="6">
        <v>1</v>
      </c>
      <c r="C56" s="6" t="s">
        <v>217</v>
      </c>
      <c r="D56" s="6" t="s">
        <v>27</v>
      </c>
      <c r="E56" s="6" t="s">
        <v>43</v>
      </c>
      <c r="F56" s="6"/>
      <c r="G56" s="6"/>
      <c r="H56" s="6"/>
      <c r="I56" s="6"/>
      <c r="J56" s="6" t="s">
        <v>37</v>
      </c>
      <c r="K56" s="7" t="str">
        <f>IFERROR(VLOOKUP(J56,Condensadoras!A:H,7,0),"")</f>
        <v>Azotea - Detrás</v>
      </c>
      <c r="L56" s="7" t="str">
        <f>IFERROR(VLOOKUP(J56,Condensadoras!A:H,8,0),"")</f>
        <v>R-410A</v>
      </c>
      <c r="M56" s="27">
        <v>40909</v>
      </c>
    </row>
    <row r="57" spans="1:13" x14ac:dyDescent="0.35">
      <c r="A57" s="6">
        <v>24</v>
      </c>
      <c r="B57" s="6">
        <v>1</v>
      </c>
      <c r="C57" s="6" t="s">
        <v>217</v>
      </c>
      <c r="D57" s="6" t="s">
        <v>27</v>
      </c>
      <c r="E57" s="6" t="s">
        <v>44</v>
      </c>
      <c r="F57" s="6"/>
      <c r="G57" s="6"/>
      <c r="H57" s="6"/>
      <c r="I57" s="6"/>
      <c r="J57" s="6" t="s">
        <v>37</v>
      </c>
      <c r="K57" s="7" t="str">
        <f>IFERROR(VLOOKUP(J57,Condensadoras!A:H,7,0),"")</f>
        <v>Azotea - Detrás</v>
      </c>
      <c r="L57" s="7" t="str">
        <f>IFERROR(VLOOKUP(J57,Condensadoras!A:H,8,0),"")</f>
        <v>R-410A</v>
      </c>
      <c r="M57" s="27">
        <v>40909</v>
      </c>
    </row>
    <row r="58" spans="1:13" x14ac:dyDescent="0.35">
      <c r="A58" s="6">
        <v>25</v>
      </c>
      <c r="B58" s="6">
        <v>1</v>
      </c>
      <c r="C58" s="6" t="s">
        <v>217</v>
      </c>
      <c r="D58" s="6" t="s">
        <v>27</v>
      </c>
      <c r="E58" s="6" t="s">
        <v>45</v>
      </c>
      <c r="F58" s="6"/>
      <c r="G58" s="6"/>
      <c r="H58" s="6"/>
      <c r="I58" s="6"/>
      <c r="J58" s="6" t="s">
        <v>37</v>
      </c>
      <c r="K58" s="7" t="str">
        <f>IFERROR(VLOOKUP(J58,Condensadoras!A:H,7,0),"")</f>
        <v>Azotea - Detrás</v>
      </c>
      <c r="L58" s="7" t="str">
        <f>IFERROR(VLOOKUP(J58,Condensadoras!A:H,8,0),"")</f>
        <v>R-410A</v>
      </c>
      <c r="M58" s="27">
        <v>40909</v>
      </c>
    </row>
    <row r="59" spans="1:13" x14ac:dyDescent="0.35">
      <c r="A59" s="6">
        <v>26</v>
      </c>
      <c r="B59" s="6">
        <v>1</v>
      </c>
      <c r="C59" s="6" t="s">
        <v>217</v>
      </c>
      <c r="D59" s="6" t="s">
        <v>27</v>
      </c>
      <c r="E59" s="6" t="s">
        <v>46</v>
      </c>
      <c r="F59" s="6"/>
      <c r="G59" s="6"/>
      <c r="H59" s="6"/>
      <c r="I59" s="6"/>
      <c r="J59" s="6" t="s">
        <v>37</v>
      </c>
      <c r="K59" s="7" t="str">
        <f>IFERROR(VLOOKUP(J59,Condensadoras!A:H,7,0),"")</f>
        <v>Azotea - Detrás</v>
      </c>
      <c r="L59" s="7" t="str">
        <f>IFERROR(VLOOKUP(J59,Condensadoras!A:H,8,0),"")</f>
        <v>R-410A</v>
      </c>
      <c r="M59" s="27">
        <v>40909</v>
      </c>
    </row>
    <row r="60" spans="1:13" x14ac:dyDescent="0.35">
      <c r="A60" s="6" t="s">
        <v>88</v>
      </c>
      <c r="B60" s="6">
        <v>1</v>
      </c>
      <c r="C60" s="6" t="s">
        <v>217</v>
      </c>
      <c r="D60" s="6" t="s">
        <v>27</v>
      </c>
      <c r="E60" s="6" t="s">
        <v>89</v>
      </c>
      <c r="F60" s="6"/>
      <c r="G60" s="6"/>
      <c r="H60" s="6"/>
      <c r="I60" s="6"/>
      <c r="J60" s="6" t="s">
        <v>87</v>
      </c>
      <c r="K60" s="7" t="str">
        <f>IFERROR(VLOOKUP(J60,Condensadoras!A:H,7,0),"")</f>
        <v>Azotea - Detrás</v>
      </c>
      <c r="L60" s="7" t="str">
        <f>IFERROR(VLOOKUP(J60,Condensadoras!A:H,8,0),"")</f>
        <v>R-410A</v>
      </c>
      <c r="M60" s="27">
        <v>40909</v>
      </c>
    </row>
    <row r="61" spans="1:13" x14ac:dyDescent="0.35">
      <c r="A61" s="6">
        <v>39</v>
      </c>
      <c r="B61" s="6">
        <v>1</v>
      </c>
      <c r="C61" s="6" t="s">
        <v>217</v>
      </c>
      <c r="D61" s="6" t="s">
        <v>27</v>
      </c>
      <c r="E61" s="6" t="s">
        <v>103</v>
      </c>
      <c r="F61" s="6"/>
      <c r="G61" s="6"/>
      <c r="H61" s="6"/>
      <c r="I61" s="6"/>
      <c r="J61" s="6" t="s">
        <v>102</v>
      </c>
      <c r="K61" s="7" t="str">
        <f>IFERROR(VLOOKUP(J61,Condensadoras!A:H,7,0),"")</f>
        <v>Azotea - Frente</v>
      </c>
      <c r="L61" s="7" t="str">
        <f>IFERROR(VLOOKUP(J61,Condensadoras!A:H,8,0),"")</f>
        <v>R-32</v>
      </c>
      <c r="M61" s="27">
        <v>40909</v>
      </c>
    </row>
    <row r="62" spans="1:13" x14ac:dyDescent="0.35">
      <c r="A62" s="6" t="s">
        <v>105</v>
      </c>
      <c r="B62" s="6">
        <v>1</v>
      </c>
      <c r="C62" s="6" t="s">
        <v>217</v>
      </c>
      <c r="D62" s="6" t="s">
        <v>27</v>
      </c>
      <c r="E62" s="6" t="s">
        <v>106</v>
      </c>
      <c r="F62" s="6"/>
      <c r="G62" s="6"/>
      <c r="H62" s="6"/>
      <c r="I62" s="6"/>
      <c r="J62" s="6" t="s">
        <v>104</v>
      </c>
      <c r="K62" s="7" t="str">
        <f>IFERROR(VLOOKUP(J62,Condensadoras!A:H,7,0),"")</f>
        <v>Azotea - Frente</v>
      </c>
      <c r="L62" s="7" t="str">
        <f>IFERROR(VLOOKUP(J62,Condensadoras!A:H,8,0),"")</f>
        <v>R-32</v>
      </c>
      <c r="M62" s="27">
        <v>40909</v>
      </c>
    </row>
    <row r="63" spans="1:13" x14ac:dyDescent="0.35">
      <c r="A63" s="6" t="s">
        <v>119</v>
      </c>
      <c r="B63" s="6">
        <v>1</v>
      </c>
      <c r="C63" s="6" t="s">
        <v>217</v>
      </c>
      <c r="D63" s="6" t="s">
        <v>27</v>
      </c>
      <c r="E63" s="6" t="s">
        <v>120</v>
      </c>
      <c r="F63" s="6"/>
      <c r="G63" s="6"/>
      <c r="H63" s="6"/>
      <c r="I63" s="6"/>
      <c r="J63" s="6" t="s">
        <v>118</v>
      </c>
      <c r="K63" s="7" t="str">
        <f>IFERROR(VLOOKUP(J63,Condensadoras!A:H,7,0),"")</f>
        <v>Azotea - Frente</v>
      </c>
      <c r="L63" s="7" t="str">
        <f>IFERROR(VLOOKUP(J63,Condensadoras!A:H,8,0),"")</f>
        <v>R-32</v>
      </c>
      <c r="M63" s="27">
        <v>40909</v>
      </c>
    </row>
    <row r="64" spans="1:13" x14ac:dyDescent="0.35">
      <c r="A64" s="6">
        <v>27</v>
      </c>
      <c r="B64" s="6">
        <v>1</v>
      </c>
      <c r="C64" s="6" t="s">
        <v>217</v>
      </c>
      <c r="D64" s="6" t="s">
        <v>27</v>
      </c>
      <c r="E64" s="6" t="s">
        <v>151</v>
      </c>
      <c r="F64" s="6"/>
      <c r="G64" s="6"/>
      <c r="H64" s="6"/>
      <c r="I64" s="6"/>
      <c r="J64" s="6" t="s">
        <v>149</v>
      </c>
      <c r="K64" s="7" t="str">
        <f>IFERROR(VLOOKUP(J64,Condensadoras!A:H,7,0),"")</f>
        <v>Azotea - Detrás</v>
      </c>
      <c r="L64" s="7" t="str">
        <f>IFERROR(VLOOKUP(J64,Condensadoras!A:H,8,0),"")</f>
        <v>R-410A</v>
      </c>
      <c r="M64" s="27">
        <v>40909</v>
      </c>
    </row>
    <row r="65" spans="1:15" x14ac:dyDescent="0.35">
      <c r="A65" s="6">
        <v>28</v>
      </c>
      <c r="B65" s="6">
        <v>1</v>
      </c>
      <c r="C65" s="6" t="s">
        <v>217</v>
      </c>
      <c r="D65" s="6" t="s">
        <v>27</v>
      </c>
      <c r="E65" s="6" t="s">
        <v>152</v>
      </c>
      <c r="F65" s="6"/>
      <c r="G65" s="6"/>
      <c r="H65" s="6"/>
      <c r="I65" s="6"/>
      <c r="J65" s="6" t="s">
        <v>149</v>
      </c>
      <c r="K65" s="7" t="str">
        <f>IFERROR(VLOOKUP(J65,Condensadoras!A:H,7,0),"")</f>
        <v>Azotea - Detrás</v>
      </c>
      <c r="L65" s="7" t="str">
        <f>IFERROR(VLOOKUP(J65,Condensadoras!A:H,8,0),"")</f>
        <v>R-410A</v>
      </c>
      <c r="M65" s="27">
        <v>40909</v>
      </c>
    </row>
    <row r="66" spans="1:15" s="24" customFormat="1" ht="25.5" customHeight="1" x14ac:dyDescent="0.35">
      <c r="A66" s="6">
        <v>29</v>
      </c>
      <c r="B66" s="6">
        <v>1</v>
      </c>
      <c r="C66" s="6" t="s">
        <v>217</v>
      </c>
      <c r="D66" s="6" t="s">
        <v>27</v>
      </c>
      <c r="E66" s="6" t="s">
        <v>153</v>
      </c>
      <c r="F66" s="6"/>
      <c r="G66" s="6"/>
      <c r="H66" s="6"/>
      <c r="I66" s="6"/>
      <c r="J66" s="6" t="s">
        <v>149</v>
      </c>
      <c r="K66" s="7" t="str">
        <f>IFERROR(VLOOKUP(J66,Condensadoras!A:H,7,0),"")</f>
        <v>Azotea - Detrás</v>
      </c>
      <c r="L66" s="7" t="str">
        <f>IFERROR(VLOOKUP(J66,Condensadoras!A:H,8,0),"")</f>
        <v>R-410A</v>
      </c>
      <c r="M66" s="27">
        <v>40909</v>
      </c>
      <c r="N66"/>
      <c r="O66"/>
    </row>
    <row r="67" spans="1:15" s="24" customFormat="1" ht="25.5" customHeight="1" x14ac:dyDescent="0.35">
      <c r="A67" s="20"/>
      <c r="B67" s="6">
        <v>1</v>
      </c>
      <c r="C67" s="6" t="s">
        <v>217</v>
      </c>
      <c r="D67" s="20" t="s">
        <v>27</v>
      </c>
      <c r="E67" s="20" t="s">
        <v>150</v>
      </c>
      <c r="F67" s="20"/>
      <c r="G67" s="20"/>
      <c r="H67" s="20"/>
      <c r="I67" s="20"/>
      <c r="J67" s="20" t="s">
        <v>149</v>
      </c>
      <c r="K67" s="7" t="str">
        <f>IFERROR(VLOOKUP(J67,Condensadoras!A:H,7,0),"")</f>
        <v>Azotea - Detrás</v>
      </c>
      <c r="L67" s="7" t="str">
        <f>IFERROR(VLOOKUP(J67,Condensadoras!A:H,8,0),"")</f>
        <v>R-410A</v>
      </c>
      <c r="M67" s="27">
        <v>40909</v>
      </c>
      <c r="N67"/>
      <c r="O67"/>
    </row>
    <row r="68" spans="1:15" x14ac:dyDescent="0.35">
      <c r="A68" s="20"/>
      <c r="B68" s="6">
        <v>1</v>
      </c>
      <c r="C68" s="6" t="s">
        <v>217</v>
      </c>
      <c r="D68" s="20" t="s">
        <v>27</v>
      </c>
      <c r="E68" s="20" t="s">
        <v>150</v>
      </c>
      <c r="F68" s="20"/>
      <c r="G68" s="20"/>
      <c r="H68" s="20"/>
      <c r="I68" s="20"/>
      <c r="J68" s="20" t="s">
        <v>149</v>
      </c>
      <c r="K68" s="7" t="str">
        <f>IFERROR(VLOOKUP(J68,Condensadoras!A:H,7,0),"")</f>
        <v>Azotea - Detrás</v>
      </c>
      <c r="L68" s="7" t="str">
        <f>IFERROR(VLOOKUP(J68,Condensadoras!A:H,8,0),"")</f>
        <v>R-410A</v>
      </c>
      <c r="M68" s="27">
        <v>40909</v>
      </c>
    </row>
    <row r="69" spans="1:15" x14ac:dyDescent="0.35">
      <c r="A69" s="20"/>
      <c r="B69" s="6">
        <v>1</v>
      </c>
      <c r="C69" s="6" t="s">
        <v>217</v>
      </c>
      <c r="D69" s="20" t="s">
        <v>27</v>
      </c>
      <c r="E69" s="20" t="s">
        <v>150</v>
      </c>
      <c r="F69" s="20"/>
      <c r="G69" s="20"/>
      <c r="H69" s="20"/>
      <c r="I69" s="20"/>
      <c r="J69" s="20" t="s">
        <v>149</v>
      </c>
      <c r="K69" s="7" t="str">
        <f>IFERROR(VLOOKUP(J69,Condensadoras!A:H,7,0),"")</f>
        <v>Azotea - Detrás</v>
      </c>
      <c r="L69" s="7" t="str">
        <f>IFERROR(VLOOKUP(J69,Condensadoras!A:H,8,0),"")</f>
        <v>R-410A</v>
      </c>
      <c r="M69" s="27">
        <v>40909</v>
      </c>
    </row>
    <row r="70" spans="1:15" x14ac:dyDescent="0.35">
      <c r="A70" s="6">
        <v>3</v>
      </c>
      <c r="B70" s="6">
        <v>1</v>
      </c>
      <c r="C70" s="6" t="s">
        <v>217</v>
      </c>
      <c r="D70" s="6" t="s">
        <v>13</v>
      </c>
      <c r="E70" s="6" t="s">
        <v>15</v>
      </c>
      <c r="F70" s="6"/>
      <c r="G70" s="6"/>
      <c r="H70" s="6"/>
      <c r="I70" s="6"/>
      <c r="J70" s="6" t="s">
        <v>11</v>
      </c>
      <c r="K70" s="7" t="str">
        <f>IFERROR(VLOOKUP(J70,Condensadoras!A:H,7,0),"")</f>
        <v>Azotea - Detrás</v>
      </c>
      <c r="L70" s="7" t="str">
        <f>IFERROR(VLOOKUP(J70,Condensadoras!A:H,8,0),"")</f>
        <v>R-410A</v>
      </c>
      <c r="M70" s="27">
        <v>40909</v>
      </c>
    </row>
    <row r="71" spans="1:15" x14ac:dyDescent="0.35">
      <c r="A71" s="6">
        <v>4</v>
      </c>
      <c r="B71" s="6">
        <v>1</v>
      </c>
      <c r="C71" s="6" t="s">
        <v>217</v>
      </c>
      <c r="D71" s="6" t="s">
        <v>13</v>
      </c>
      <c r="E71" s="6" t="s">
        <v>15</v>
      </c>
      <c r="F71" s="6"/>
      <c r="G71" s="6"/>
      <c r="H71" s="6"/>
      <c r="I71" s="6"/>
      <c r="J71" s="6" t="s">
        <v>11</v>
      </c>
      <c r="K71" s="7" t="str">
        <f>IFERROR(VLOOKUP(J71,Condensadoras!A:H,7,0),"")</f>
        <v>Azotea - Detrás</v>
      </c>
      <c r="L71" s="7" t="str">
        <f>IFERROR(VLOOKUP(J71,Condensadoras!A:H,8,0),"")</f>
        <v>R-410A</v>
      </c>
      <c r="M71" s="27">
        <v>40909</v>
      </c>
    </row>
    <row r="72" spans="1:15" x14ac:dyDescent="0.35">
      <c r="A72" s="6">
        <v>5</v>
      </c>
      <c r="B72" s="6">
        <v>1</v>
      </c>
      <c r="C72" s="6" t="s">
        <v>217</v>
      </c>
      <c r="D72" s="6" t="s">
        <v>13</v>
      </c>
      <c r="E72" s="6" t="s">
        <v>15</v>
      </c>
      <c r="F72" s="6"/>
      <c r="G72" s="6"/>
      <c r="H72" s="6"/>
      <c r="I72" s="6"/>
      <c r="J72" s="6" t="s">
        <v>11</v>
      </c>
      <c r="K72" s="7" t="str">
        <f>IFERROR(VLOOKUP(J72,Condensadoras!A:H,7,0),"")</f>
        <v>Azotea - Detrás</v>
      </c>
      <c r="L72" s="7" t="str">
        <f>IFERROR(VLOOKUP(J72,Condensadoras!A:H,8,0),"")</f>
        <v>R-410A</v>
      </c>
      <c r="M72" s="27">
        <v>42005</v>
      </c>
    </row>
    <row r="73" spans="1:15" x14ac:dyDescent="0.35">
      <c r="A73" s="6">
        <v>6</v>
      </c>
      <c r="B73" s="6">
        <v>1</v>
      </c>
      <c r="C73" s="6" t="s">
        <v>217</v>
      </c>
      <c r="D73" s="6" t="s">
        <v>13</v>
      </c>
      <c r="E73" s="6" t="s">
        <v>16</v>
      </c>
      <c r="F73" s="6"/>
      <c r="G73" s="6"/>
      <c r="H73" s="6"/>
      <c r="I73" s="6"/>
      <c r="J73" s="6" t="s">
        <v>11</v>
      </c>
      <c r="K73" s="7" t="str">
        <f>IFERROR(VLOOKUP(J73,Condensadoras!A:H,7,0),"")</f>
        <v>Azotea - Detrás</v>
      </c>
      <c r="L73" s="7" t="str">
        <f>IFERROR(VLOOKUP(J73,Condensadoras!A:H,8,0),"")</f>
        <v>R-410A</v>
      </c>
      <c r="M73" s="27">
        <v>42005</v>
      </c>
    </row>
    <row r="74" spans="1:15" x14ac:dyDescent="0.35">
      <c r="A74" s="6">
        <v>7</v>
      </c>
      <c r="B74" s="6">
        <v>1</v>
      </c>
      <c r="C74" s="6" t="s">
        <v>217</v>
      </c>
      <c r="D74" s="6" t="s">
        <v>13</v>
      </c>
      <c r="E74" s="6" t="s">
        <v>17</v>
      </c>
      <c r="F74" s="6"/>
      <c r="G74" s="6"/>
      <c r="H74" s="6"/>
      <c r="I74" s="6"/>
      <c r="J74" s="6" t="s">
        <v>11</v>
      </c>
      <c r="K74" s="7" t="str">
        <f>IFERROR(VLOOKUP(J74,Condensadoras!A:H,7,0),"")</f>
        <v>Azotea - Detrás</v>
      </c>
      <c r="L74" s="7" t="str">
        <f>IFERROR(VLOOKUP(J74,Condensadoras!A:H,8,0),"")</f>
        <v>R-410A</v>
      </c>
      <c r="M74" s="27">
        <v>40909</v>
      </c>
    </row>
    <row r="75" spans="1:15" x14ac:dyDescent="0.35">
      <c r="A75" s="6">
        <v>8</v>
      </c>
      <c r="B75" s="6">
        <v>1</v>
      </c>
      <c r="C75" s="6" t="s">
        <v>217</v>
      </c>
      <c r="D75" s="6" t="s">
        <v>13</v>
      </c>
      <c r="E75" s="6" t="s">
        <v>18</v>
      </c>
      <c r="F75" s="6"/>
      <c r="G75" s="6"/>
      <c r="H75" s="6"/>
      <c r="I75" s="6"/>
      <c r="J75" s="6" t="s">
        <v>11</v>
      </c>
      <c r="K75" s="7" t="str">
        <f>IFERROR(VLOOKUP(J75,Condensadoras!A:H,7,0),"")</f>
        <v>Azotea - Detrás</v>
      </c>
      <c r="L75" s="7" t="str">
        <f>IFERROR(VLOOKUP(J75,Condensadoras!A:H,8,0),"")</f>
        <v>R-410A</v>
      </c>
      <c r="M75" s="27">
        <v>40909</v>
      </c>
    </row>
    <row r="76" spans="1:15" x14ac:dyDescent="0.35">
      <c r="A76" s="6">
        <v>9</v>
      </c>
      <c r="B76" s="6">
        <v>1</v>
      </c>
      <c r="C76" s="6" t="s">
        <v>217</v>
      </c>
      <c r="D76" s="6" t="s">
        <v>13</v>
      </c>
      <c r="E76" s="6" t="s">
        <v>19</v>
      </c>
      <c r="F76" s="6"/>
      <c r="G76" s="6"/>
      <c r="H76" s="6"/>
      <c r="I76" s="6"/>
      <c r="J76" s="6" t="s">
        <v>11</v>
      </c>
      <c r="K76" s="7" t="str">
        <f>IFERROR(VLOOKUP(J76,Condensadoras!A:H,7,0),"")</f>
        <v>Azotea - Detrás</v>
      </c>
      <c r="L76" s="7" t="str">
        <f>IFERROR(VLOOKUP(J76,Condensadoras!A:H,8,0),"")</f>
        <v>R-410A</v>
      </c>
      <c r="M76" s="27">
        <v>40909</v>
      </c>
    </row>
    <row r="77" spans="1:15" s="24" customFormat="1" ht="27.75" customHeight="1" x14ac:dyDescent="0.35">
      <c r="A77" s="6">
        <v>10</v>
      </c>
      <c r="B77" s="6">
        <v>1</v>
      </c>
      <c r="C77" s="6" t="s">
        <v>217</v>
      </c>
      <c r="D77" s="6" t="s">
        <v>13</v>
      </c>
      <c r="E77" s="6" t="s">
        <v>20</v>
      </c>
      <c r="F77" s="6"/>
      <c r="G77" s="6"/>
      <c r="H77" s="6"/>
      <c r="I77" s="6"/>
      <c r="J77" s="6" t="s">
        <v>11</v>
      </c>
      <c r="K77" s="7" t="str">
        <f>IFERROR(VLOOKUP(J77,Condensadoras!A:H,7,0),"")</f>
        <v>Azotea - Detrás</v>
      </c>
      <c r="L77" s="7" t="str">
        <f>IFERROR(VLOOKUP(J77,Condensadoras!A:H,8,0),"")</f>
        <v>R-410A</v>
      </c>
      <c r="M77" s="27">
        <v>38718</v>
      </c>
      <c r="N77"/>
      <c r="O77"/>
    </row>
    <row r="78" spans="1:15" s="24" customFormat="1" ht="27.75" customHeight="1" x14ac:dyDescent="0.35">
      <c r="A78" s="6">
        <v>11</v>
      </c>
      <c r="B78" s="6">
        <v>1</v>
      </c>
      <c r="C78" s="6" t="s">
        <v>217</v>
      </c>
      <c r="D78" s="6" t="s">
        <v>13</v>
      </c>
      <c r="E78" s="6" t="s">
        <v>21</v>
      </c>
      <c r="F78" s="6"/>
      <c r="G78" s="6"/>
      <c r="H78" s="6"/>
      <c r="I78" s="6"/>
      <c r="J78" s="6" t="s">
        <v>11</v>
      </c>
      <c r="K78" s="7" t="str">
        <f>IFERROR(VLOOKUP(J78,Condensadoras!A:H,7,0),"")</f>
        <v>Azotea - Detrás</v>
      </c>
      <c r="L78" s="7" t="str">
        <f>IFERROR(VLOOKUP(J78,Condensadoras!A:H,8,0),"")</f>
        <v>R-410A</v>
      </c>
      <c r="M78" s="27">
        <v>38718</v>
      </c>
      <c r="N78"/>
      <c r="O78"/>
    </row>
    <row r="79" spans="1:15" s="24" customFormat="1" ht="27.75" customHeight="1" x14ac:dyDescent="0.35">
      <c r="A79" s="6">
        <v>12</v>
      </c>
      <c r="B79" s="6">
        <v>1</v>
      </c>
      <c r="C79" s="6" t="s">
        <v>217</v>
      </c>
      <c r="D79" s="6" t="s">
        <v>13</v>
      </c>
      <c r="E79" s="6" t="s">
        <v>22</v>
      </c>
      <c r="F79" s="6"/>
      <c r="G79" s="6"/>
      <c r="H79" s="6"/>
      <c r="I79" s="6"/>
      <c r="J79" s="6" t="s">
        <v>11</v>
      </c>
      <c r="K79" s="7" t="str">
        <f>IFERROR(VLOOKUP(J79,Condensadoras!A:H,7,0),"")</f>
        <v>Azotea - Detrás</v>
      </c>
      <c r="L79" s="7" t="str">
        <f>IFERROR(VLOOKUP(J79,Condensadoras!A:H,8,0),"")</f>
        <v>R-410A</v>
      </c>
      <c r="M79" s="27">
        <v>38718</v>
      </c>
      <c r="N79"/>
      <c r="O79"/>
    </row>
    <row r="80" spans="1:15" s="24" customFormat="1" ht="27.75" customHeight="1" x14ac:dyDescent="0.35">
      <c r="A80" s="6">
        <v>13</v>
      </c>
      <c r="B80" s="6">
        <v>1</v>
      </c>
      <c r="C80" s="6" t="s">
        <v>217</v>
      </c>
      <c r="D80" s="6" t="s">
        <v>13</v>
      </c>
      <c r="E80" s="6" t="s">
        <v>23</v>
      </c>
      <c r="F80" s="6"/>
      <c r="G80" s="6"/>
      <c r="H80" s="6"/>
      <c r="I80" s="6"/>
      <c r="J80" s="6" t="s">
        <v>11</v>
      </c>
      <c r="K80" s="7" t="str">
        <f>IFERROR(VLOOKUP(J80,Condensadoras!A:H,7,0),"")</f>
        <v>Azotea - Detrás</v>
      </c>
      <c r="L80" s="7" t="str">
        <f>IFERROR(VLOOKUP(J80,Condensadoras!A:H,8,0),"")</f>
        <v>R-410A</v>
      </c>
      <c r="M80" s="27">
        <v>43831</v>
      </c>
      <c r="N80"/>
      <c r="O80"/>
    </row>
    <row r="81" spans="1:15" s="24" customFormat="1" ht="27.75" customHeight="1" x14ac:dyDescent="0.35">
      <c r="A81" s="6">
        <v>14</v>
      </c>
      <c r="B81" s="6">
        <v>1</v>
      </c>
      <c r="C81" s="6" t="s">
        <v>217</v>
      </c>
      <c r="D81" s="6" t="s">
        <v>13</v>
      </c>
      <c r="E81" s="6" t="s">
        <v>24</v>
      </c>
      <c r="F81" s="6"/>
      <c r="G81" s="6"/>
      <c r="H81" s="6"/>
      <c r="I81" s="6"/>
      <c r="J81" s="6" t="s">
        <v>11</v>
      </c>
      <c r="K81" s="7" t="str">
        <f>IFERROR(VLOOKUP(J81,Condensadoras!A:H,7,0),"")</f>
        <v>Azotea - Detrás</v>
      </c>
      <c r="L81" s="7" t="str">
        <f>IFERROR(VLOOKUP(J81,Condensadoras!A:H,8,0),"")</f>
        <v>R-410A</v>
      </c>
      <c r="M81" s="27">
        <v>42005</v>
      </c>
      <c r="N81"/>
      <c r="O81"/>
    </row>
    <row r="82" spans="1:15" s="24" customFormat="1" ht="27.75" customHeight="1" x14ac:dyDescent="0.35">
      <c r="A82" s="6">
        <v>15</v>
      </c>
      <c r="B82" s="6">
        <v>1</v>
      </c>
      <c r="C82" s="6" t="s">
        <v>217</v>
      </c>
      <c r="D82" s="6" t="s">
        <v>13</v>
      </c>
      <c r="E82" s="6" t="s">
        <v>25</v>
      </c>
      <c r="F82" s="6"/>
      <c r="G82" s="6"/>
      <c r="H82" s="6"/>
      <c r="I82" s="6"/>
      <c r="J82" s="6" t="s">
        <v>11</v>
      </c>
      <c r="K82" s="7" t="str">
        <f>IFERROR(VLOOKUP(J82,Condensadoras!A:H,7,0),"")</f>
        <v>Azotea - Detrás</v>
      </c>
      <c r="L82" s="7" t="str">
        <f>IFERROR(VLOOKUP(J82,Condensadoras!A:H,8,0),"")</f>
        <v>R-410A</v>
      </c>
      <c r="M82" s="27"/>
      <c r="N82"/>
      <c r="O82"/>
    </row>
    <row r="83" spans="1:15" s="24" customFormat="1" ht="27.75" customHeight="1" x14ac:dyDescent="0.35">
      <c r="A83" s="6" t="s">
        <v>63</v>
      </c>
      <c r="B83" s="6">
        <v>1</v>
      </c>
      <c r="C83" s="6" t="s">
        <v>217</v>
      </c>
      <c r="D83" s="6" t="s">
        <v>13</v>
      </c>
      <c r="E83" s="6" t="s">
        <v>64</v>
      </c>
      <c r="F83" s="6"/>
      <c r="G83" s="6"/>
      <c r="H83" s="6"/>
      <c r="I83" s="6"/>
      <c r="J83" s="6" t="s">
        <v>62</v>
      </c>
      <c r="K83" s="7" t="str">
        <f>IFERROR(VLOOKUP(J83,Condensadoras!A:H,7,0),"")</f>
        <v>Azotea - Detrás</v>
      </c>
      <c r="L83" s="7" t="str">
        <f>IFERROR(VLOOKUP(J83,Condensadoras!A:H,8,0),"")</f>
        <v>R-32</v>
      </c>
      <c r="M83" s="27">
        <v>42005</v>
      </c>
      <c r="N83"/>
      <c r="O83"/>
    </row>
    <row r="84" spans="1:15" s="24" customFormat="1" ht="27.75" customHeight="1" x14ac:dyDescent="0.35">
      <c r="A84" s="6" t="s">
        <v>66</v>
      </c>
      <c r="B84" s="6">
        <v>1</v>
      </c>
      <c r="C84" s="6" t="s">
        <v>217</v>
      </c>
      <c r="D84" s="6" t="s">
        <v>13</v>
      </c>
      <c r="E84" s="6" t="s">
        <v>67</v>
      </c>
      <c r="F84" s="6"/>
      <c r="G84" s="6"/>
      <c r="H84" s="6"/>
      <c r="I84" s="6"/>
      <c r="J84" s="6" t="s">
        <v>65</v>
      </c>
      <c r="K84" s="7" t="str">
        <f>IFERROR(VLOOKUP(J84,Condensadoras!A:H,7,0),"")</f>
        <v>Azotea - Detrás</v>
      </c>
      <c r="L84" s="7" t="str">
        <f>IFERROR(VLOOKUP(J84,Condensadoras!A:H,8,0),"")</f>
        <v>R-32</v>
      </c>
      <c r="M84" s="27">
        <v>42005</v>
      </c>
      <c r="N84"/>
      <c r="O84"/>
    </row>
    <row r="85" spans="1:15" s="24" customFormat="1" ht="27.75" customHeight="1" x14ac:dyDescent="0.35">
      <c r="A85" s="6" t="s">
        <v>90</v>
      </c>
      <c r="B85" s="6">
        <v>1</v>
      </c>
      <c r="C85" s="6" t="s">
        <v>217</v>
      </c>
      <c r="D85" s="6" t="s">
        <v>13</v>
      </c>
      <c r="E85" s="6" t="s">
        <v>91</v>
      </c>
      <c r="F85" s="6"/>
      <c r="G85" s="6"/>
      <c r="H85" s="6"/>
      <c r="I85" s="6"/>
      <c r="J85" s="6" t="s">
        <v>87</v>
      </c>
      <c r="K85" s="7" t="str">
        <f>IFERROR(VLOOKUP(J85,Condensadoras!A:H,7,0),"")</f>
        <v>Azotea - Detrás</v>
      </c>
      <c r="L85" s="7" t="str">
        <f>IFERROR(VLOOKUP(J85,Condensadoras!A:H,8,0),"")</f>
        <v>R-410A</v>
      </c>
      <c r="M85" s="27">
        <v>42005</v>
      </c>
      <c r="N85"/>
      <c r="O85"/>
    </row>
    <row r="86" spans="1:15" s="24" customFormat="1" ht="27.75" customHeight="1" x14ac:dyDescent="0.35">
      <c r="A86" s="6" t="s">
        <v>94</v>
      </c>
      <c r="B86" s="6">
        <v>1</v>
      </c>
      <c r="C86" s="6" t="s">
        <v>217</v>
      </c>
      <c r="D86" s="6" t="s">
        <v>13</v>
      </c>
      <c r="E86" s="6" t="s">
        <v>95</v>
      </c>
      <c r="F86" s="6"/>
      <c r="G86" s="6"/>
      <c r="H86" s="6"/>
      <c r="I86" s="6"/>
      <c r="J86" s="6" t="s">
        <v>92</v>
      </c>
      <c r="K86" s="7" t="str">
        <f>IFERROR(VLOOKUP(J86,Condensadoras!A:H,7,0),"")</f>
        <v>Azotea - Frente</v>
      </c>
      <c r="L86" s="7" t="str">
        <f>IFERROR(VLOOKUP(J86,Condensadoras!A:H,8,0),"")</f>
        <v>R-410A</v>
      </c>
      <c r="M86" s="27">
        <v>42005</v>
      </c>
      <c r="N86"/>
      <c r="O86"/>
    </row>
    <row r="87" spans="1:15" s="24" customFormat="1" ht="27.75" customHeight="1" x14ac:dyDescent="0.35">
      <c r="A87" s="6">
        <v>33</v>
      </c>
      <c r="B87" s="6">
        <v>1</v>
      </c>
      <c r="C87" s="6" t="s">
        <v>217</v>
      </c>
      <c r="D87" s="6" t="s">
        <v>13</v>
      </c>
      <c r="E87" s="6" t="s">
        <v>97</v>
      </c>
      <c r="F87" s="6"/>
      <c r="G87" s="6"/>
      <c r="H87" s="6"/>
      <c r="I87" s="6"/>
      <c r="J87" s="6" t="s">
        <v>96</v>
      </c>
      <c r="K87" s="7" t="str">
        <f>IFERROR(VLOOKUP(J87,Condensadoras!A:H,7,0),"")</f>
        <v>Azotea - Frente</v>
      </c>
      <c r="L87" s="7" t="str">
        <f>IFERROR(VLOOKUP(J87,Condensadoras!A:H,8,0),"")</f>
        <v>R-410A</v>
      </c>
      <c r="M87" s="27">
        <v>42005</v>
      </c>
      <c r="N87"/>
      <c r="O87"/>
    </row>
    <row r="88" spans="1:15" s="24" customFormat="1" ht="27.75" customHeight="1" x14ac:dyDescent="0.35">
      <c r="A88" s="6">
        <v>34</v>
      </c>
      <c r="B88" s="6">
        <v>1</v>
      </c>
      <c r="C88" s="6" t="s">
        <v>217</v>
      </c>
      <c r="D88" s="6" t="s">
        <v>13</v>
      </c>
      <c r="E88" s="6" t="s">
        <v>99</v>
      </c>
      <c r="F88" s="6"/>
      <c r="G88" s="6"/>
      <c r="H88" s="6"/>
      <c r="I88" s="6"/>
      <c r="J88" s="6" t="s">
        <v>98</v>
      </c>
      <c r="K88" s="7" t="str">
        <f>IFERROR(VLOOKUP(J88,Condensadoras!A:H,7,0),"")</f>
        <v>Azotea - Frente</v>
      </c>
      <c r="L88" s="7" t="str">
        <f>IFERROR(VLOOKUP(J88,Condensadoras!A:H,8,0),"")</f>
        <v>R-410A</v>
      </c>
      <c r="M88" s="27">
        <v>42005</v>
      </c>
      <c r="N88"/>
      <c r="O88"/>
    </row>
    <row r="89" spans="1:15" x14ac:dyDescent="0.35">
      <c r="A89" s="6">
        <v>35</v>
      </c>
      <c r="B89" s="6">
        <v>1</v>
      </c>
      <c r="C89" s="6" t="s">
        <v>217</v>
      </c>
      <c r="D89" s="6" t="s">
        <v>13</v>
      </c>
      <c r="E89" s="6" t="s">
        <v>101</v>
      </c>
      <c r="F89" s="6"/>
      <c r="G89" s="6"/>
      <c r="H89" s="6"/>
      <c r="I89" s="6"/>
      <c r="J89" s="6" t="s">
        <v>100</v>
      </c>
      <c r="K89" s="7" t="str">
        <f>IFERROR(VLOOKUP(J89,Condensadoras!A:H,7,0),"")</f>
        <v>Azotea - Frente</v>
      </c>
      <c r="L89" s="7" t="str">
        <f>IFERROR(VLOOKUP(J89,Condensadoras!A:H,8,0),"")</f>
        <v>R-410A</v>
      </c>
      <c r="M89" s="27"/>
    </row>
    <row r="90" spans="1:15" x14ac:dyDescent="0.35">
      <c r="A90" s="6" t="s">
        <v>143</v>
      </c>
      <c r="B90" s="6">
        <v>1</v>
      </c>
      <c r="C90" s="6" t="s">
        <v>217</v>
      </c>
      <c r="D90" s="6" t="s">
        <v>13</v>
      </c>
      <c r="E90" s="6" t="s">
        <v>144</v>
      </c>
      <c r="F90" s="6"/>
      <c r="G90" s="6"/>
      <c r="H90" s="6"/>
      <c r="I90" s="6"/>
      <c r="J90" s="6" t="s">
        <v>135</v>
      </c>
      <c r="K90" s="7" t="str">
        <f>IFERROR(VLOOKUP(J90,Condensadoras!A:H,7,0),"")</f>
        <v>Azotea-Detrás</v>
      </c>
      <c r="L90" s="7" t="str">
        <f>IFERROR(VLOOKUP(J90,Condensadoras!A:H,8,0),"")</f>
        <v>R-410A</v>
      </c>
      <c r="M90" s="27"/>
    </row>
    <row r="91" spans="1:15" x14ac:dyDescent="0.35">
      <c r="A91" s="23">
        <v>22</v>
      </c>
      <c r="B91" s="6">
        <v>1</v>
      </c>
      <c r="C91" s="6" t="s">
        <v>217</v>
      </c>
      <c r="D91" s="23" t="s">
        <v>84</v>
      </c>
      <c r="E91" s="23" t="s">
        <v>109</v>
      </c>
      <c r="F91" s="23"/>
      <c r="G91" s="23"/>
      <c r="H91" s="23"/>
      <c r="I91" s="23"/>
      <c r="J91" s="23" t="s">
        <v>107</v>
      </c>
      <c r="K91" s="7" t="str">
        <f>IFERROR(VLOOKUP(J91,Condensadoras!A:H,7,0),"")</f>
        <v>Azotea - Detrás</v>
      </c>
      <c r="L91" s="7" t="str">
        <f>IFERROR(VLOOKUP(J91,Condensadoras!A:H,8,0),"")</f>
        <v>R-407</v>
      </c>
      <c r="M91" s="27"/>
    </row>
    <row r="92" spans="1:15" x14ac:dyDescent="0.35">
      <c r="A92" s="23">
        <v>23</v>
      </c>
      <c r="B92" s="6">
        <v>1</v>
      </c>
      <c r="C92" s="6" t="s">
        <v>217</v>
      </c>
      <c r="D92" s="23" t="s">
        <v>84</v>
      </c>
      <c r="E92" s="23" t="s">
        <v>110</v>
      </c>
      <c r="F92" s="23"/>
      <c r="G92" s="23"/>
      <c r="H92" s="23"/>
      <c r="I92" s="23"/>
      <c r="J92" s="23" t="s">
        <v>107</v>
      </c>
      <c r="K92" s="7" t="str">
        <f>IFERROR(VLOOKUP(J92,Condensadoras!A:H,7,0),"")</f>
        <v>Azotea - Detrás</v>
      </c>
      <c r="L92" s="7" t="str">
        <f>IFERROR(VLOOKUP(J92,Condensadoras!A:H,8,0),"")</f>
        <v>R-407</v>
      </c>
      <c r="M92" s="27"/>
    </row>
    <row r="93" spans="1:15" x14ac:dyDescent="0.35">
      <c r="A93" s="23">
        <v>24</v>
      </c>
      <c r="B93" s="6">
        <v>1</v>
      </c>
      <c r="C93" s="6" t="s">
        <v>217</v>
      </c>
      <c r="D93" s="23" t="s">
        <v>84</v>
      </c>
      <c r="E93" s="23" t="s">
        <v>111</v>
      </c>
      <c r="F93" s="23"/>
      <c r="G93" s="23"/>
      <c r="H93" s="23"/>
      <c r="I93" s="23"/>
      <c r="J93" s="23" t="s">
        <v>107</v>
      </c>
      <c r="K93" s="7" t="str">
        <f>IFERROR(VLOOKUP(J93,Condensadoras!A:H,7,0),"")</f>
        <v>Azotea - Detrás</v>
      </c>
      <c r="L93" s="7" t="str">
        <f>IFERROR(VLOOKUP(J93,Condensadoras!A:H,8,0),"")</f>
        <v>R-407</v>
      </c>
      <c r="M93" s="27">
        <v>43831</v>
      </c>
    </row>
    <row r="94" spans="1:15" x14ac:dyDescent="0.35">
      <c r="A94" s="23">
        <v>25</v>
      </c>
      <c r="B94" s="6">
        <v>1</v>
      </c>
      <c r="C94" s="6" t="s">
        <v>217</v>
      </c>
      <c r="D94" s="23" t="s">
        <v>84</v>
      </c>
      <c r="E94" s="23" t="s">
        <v>112</v>
      </c>
      <c r="F94" s="23"/>
      <c r="G94" s="23"/>
      <c r="H94" s="23"/>
      <c r="I94" s="23"/>
      <c r="J94" s="23" t="s">
        <v>107</v>
      </c>
      <c r="K94" s="7" t="str">
        <f>IFERROR(VLOOKUP(J94,Condensadoras!A:H,7,0),"")</f>
        <v>Azotea - Detrás</v>
      </c>
      <c r="L94" s="7" t="str">
        <f>IFERROR(VLOOKUP(J94,Condensadoras!A:H,8,0),"")</f>
        <v>R-407</v>
      </c>
      <c r="M94" s="27">
        <v>43831</v>
      </c>
    </row>
    <row r="95" spans="1:15" x14ac:dyDescent="0.35">
      <c r="A95" s="23">
        <v>26</v>
      </c>
      <c r="B95" s="6">
        <v>1</v>
      </c>
      <c r="C95" s="6" t="s">
        <v>217</v>
      </c>
      <c r="D95" s="23" t="s">
        <v>84</v>
      </c>
      <c r="E95" s="23" t="s">
        <v>113</v>
      </c>
      <c r="F95" s="23"/>
      <c r="G95" s="23"/>
      <c r="H95" s="23"/>
      <c r="I95" s="23"/>
      <c r="J95" s="23" t="s">
        <v>107</v>
      </c>
      <c r="K95" s="7" t="str">
        <f>IFERROR(VLOOKUP(J95,Condensadoras!A:H,7,0),"")</f>
        <v>Azotea - Detrás</v>
      </c>
      <c r="L95" s="7" t="str">
        <f>IFERROR(VLOOKUP(J95,Condensadoras!A:H,8,0),"")</f>
        <v>R-407</v>
      </c>
      <c r="M95" s="27">
        <v>42005</v>
      </c>
    </row>
    <row r="96" spans="1:15" x14ac:dyDescent="0.35">
      <c r="A96" s="23">
        <v>27</v>
      </c>
      <c r="B96" s="6">
        <v>1</v>
      </c>
      <c r="C96" s="6" t="s">
        <v>217</v>
      </c>
      <c r="D96" s="23" t="s">
        <v>84</v>
      </c>
      <c r="E96" s="23" t="s">
        <v>114</v>
      </c>
      <c r="F96" s="23"/>
      <c r="G96" s="23"/>
      <c r="H96" s="23"/>
      <c r="I96" s="23"/>
      <c r="J96" s="23" t="s">
        <v>107</v>
      </c>
      <c r="K96" s="7" t="str">
        <f>IFERROR(VLOOKUP(J96,Condensadoras!A:H,7,0),"")</f>
        <v>Azotea - Detrás</v>
      </c>
      <c r="L96" s="7" t="str">
        <f>IFERROR(VLOOKUP(J96,Condensadoras!A:H,8,0),"")</f>
        <v>R-407</v>
      </c>
      <c r="M96" s="27">
        <v>42005</v>
      </c>
    </row>
    <row r="97" spans="1:13" x14ac:dyDescent="0.35">
      <c r="A97" s="23">
        <v>28</v>
      </c>
      <c r="B97" s="6">
        <v>1</v>
      </c>
      <c r="C97" s="6" t="s">
        <v>217</v>
      </c>
      <c r="D97" s="23" t="s">
        <v>84</v>
      </c>
      <c r="E97" s="23" t="s">
        <v>114</v>
      </c>
      <c r="F97" s="23"/>
      <c r="G97" s="23"/>
      <c r="H97" s="23"/>
      <c r="I97" s="23"/>
      <c r="J97" s="23" t="s">
        <v>107</v>
      </c>
      <c r="K97" s="7" t="str">
        <f>IFERROR(VLOOKUP(J97,Condensadoras!A:H,7,0),"")</f>
        <v>Azotea - Detrás</v>
      </c>
      <c r="L97" s="7" t="str">
        <f>IFERROR(VLOOKUP(J97,Condensadoras!A:H,8,0),"")</f>
        <v>R-407</v>
      </c>
      <c r="M97" s="27">
        <v>42005</v>
      </c>
    </row>
    <row r="98" spans="1:13" x14ac:dyDescent="0.35">
      <c r="A98" s="23">
        <v>29</v>
      </c>
      <c r="B98" s="6">
        <v>1</v>
      </c>
      <c r="C98" s="6" t="s">
        <v>217</v>
      </c>
      <c r="D98" s="23" t="s">
        <v>84</v>
      </c>
      <c r="E98" s="23" t="s">
        <v>114</v>
      </c>
      <c r="F98" s="23"/>
      <c r="G98" s="23"/>
      <c r="H98" s="23"/>
      <c r="I98" s="23"/>
      <c r="J98" s="23" t="s">
        <v>107</v>
      </c>
      <c r="K98" s="7" t="str">
        <f>IFERROR(VLOOKUP(J98,Condensadoras!A:H,7,0),"")</f>
        <v>Azotea - Detrás</v>
      </c>
      <c r="L98" s="7" t="str">
        <f>IFERROR(VLOOKUP(J98,Condensadoras!A:H,8,0),"")</f>
        <v>R-407</v>
      </c>
      <c r="M98" s="27"/>
    </row>
    <row r="99" spans="1:13" ht="28.5" customHeight="1" x14ac:dyDescent="0.35">
      <c r="A99" s="23">
        <v>30</v>
      </c>
      <c r="B99" s="6">
        <v>1</v>
      </c>
      <c r="C99" s="6" t="s">
        <v>217</v>
      </c>
      <c r="D99" s="23" t="s">
        <v>84</v>
      </c>
      <c r="E99" s="23" t="s">
        <v>114</v>
      </c>
      <c r="F99" s="23"/>
      <c r="G99" s="23"/>
      <c r="H99" s="23"/>
      <c r="I99" s="23"/>
      <c r="J99" s="23" t="s">
        <v>107</v>
      </c>
      <c r="K99" s="7" t="str">
        <f>IFERROR(VLOOKUP(J99,Condensadoras!A:H,7,0),"")</f>
        <v>Azotea - Detrás</v>
      </c>
      <c r="L99" s="7" t="str">
        <f>IFERROR(VLOOKUP(J99,Condensadoras!A:H,8,0),"")</f>
        <v>R-407</v>
      </c>
      <c r="M99" s="27"/>
    </row>
    <row r="100" spans="1:13" ht="30" customHeight="1" x14ac:dyDescent="0.35">
      <c r="A100" s="23">
        <v>31</v>
      </c>
      <c r="B100" s="6">
        <v>1</v>
      </c>
      <c r="C100" s="6" t="s">
        <v>217</v>
      </c>
      <c r="D100" s="23" t="s">
        <v>84</v>
      </c>
      <c r="E100" s="23" t="s">
        <v>114</v>
      </c>
      <c r="F100" s="23"/>
      <c r="G100" s="23"/>
      <c r="H100" s="23"/>
      <c r="I100" s="23"/>
      <c r="J100" s="23" t="s">
        <v>107</v>
      </c>
      <c r="K100" s="7" t="str">
        <f>IFERROR(VLOOKUP(J100,Condensadoras!A:H,7,0),"")</f>
        <v>Azotea - Detrás</v>
      </c>
      <c r="L100" s="7" t="str">
        <f>IFERROR(VLOOKUP(J100,Condensadoras!A:H,8,0),"")</f>
        <v>R-407</v>
      </c>
      <c r="M100" s="27"/>
    </row>
    <row r="101" spans="1:13" x14ac:dyDescent="0.35">
      <c r="A101" s="23">
        <v>32</v>
      </c>
      <c r="B101" s="6">
        <v>1</v>
      </c>
      <c r="C101" s="6" t="s">
        <v>217</v>
      </c>
      <c r="D101" s="23" t="s">
        <v>84</v>
      </c>
      <c r="E101" s="23" t="s">
        <v>114</v>
      </c>
      <c r="F101" s="23"/>
      <c r="G101" s="23"/>
      <c r="H101" s="23"/>
      <c r="I101" s="23"/>
      <c r="J101" s="23" t="s">
        <v>107</v>
      </c>
      <c r="K101" s="7" t="str">
        <f>IFERROR(VLOOKUP(J101,Condensadoras!A:H,7,0),"")</f>
        <v>Azotea - Detrás</v>
      </c>
      <c r="L101" s="7" t="str">
        <f>IFERROR(VLOOKUP(J101,Condensadoras!A:H,8,0),"")</f>
        <v>R-407</v>
      </c>
      <c r="M101" s="27"/>
    </row>
    <row r="102" spans="1:13" x14ac:dyDescent="0.35">
      <c r="A102" s="23">
        <v>7</v>
      </c>
      <c r="B102" s="6">
        <v>1</v>
      </c>
      <c r="C102" s="6" t="s">
        <v>217</v>
      </c>
      <c r="D102" s="23" t="s">
        <v>84</v>
      </c>
      <c r="E102" s="23" t="s">
        <v>85</v>
      </c>
      <c r="F102" s="23"/>
      <c r="G102" s="23"/>
      <c r="H102" s="23"/>
      <c r="I102" s="23"/>
      <c r="J102" s="23" t="s">
        <v>74</v>
      </c>
      <c r="K102" s="7" t="str">
        <f>IFERROR(VLOOKUP(J102,Condensadoras!A:H,7,0),"")</f>
        <v>Azotea - Detrás</v>
      </c>
      <c r="L102" s="7" t="str">
        <f>IFERROR(VLOOKUP(J102,Condensadoras!A:H,8,0),"")</f>
        <v>R-410A</v>
      </c>
      <c r="M102" s="27"/>
    </row>
    <row r="103" spans="1:13" x14ac:dyDescent="0.35">
      <c r="A103" s="23">
        <v>8</v>
      </c>
      <c r="B103" s="6">
        <v>1</v>
      </c>
      <c r="C103" s="6" t="s">
        <v>217</v>
      </c>
      <c r="D103" s="23" t="s">
        <v>84</v>
      </c>
      <c r="E103" s="23" t="s">
        <v>86</v>
      </c>
      <c r="F103" s="23"/>
      <c r="G103" s="23"/>
      <c r="H103" s="23"/>
      <c r="I103" s="23"/>
      <c r="J103" s="23" t="s">
        <v>74</v>
      </c>
      <c r="K103" s="7" t="str">
        <f>IFERROR(VLOOKUP(J103,Condensadoras!A:H,7,0),"")</f>
        <v>Azotea - Detrás</v>
      </c>
      <c r="L103" s="7" t="str">
        <f>IFERROR(VLOOKUP(J103,Condensadoras!A:H,8,0),"")</f>
        <v>R-410A</v>
      </c>
      <c r="M103" s="27"/>
    </row>
    <row r="104" spans="1:13" x14ac:dyDescent="0.35">
      <c r="A104" s="23" t="s">
        <v>116</v>
      </c>
      <c r="B104" s="6">
        <v>1</v>
      </c>
      <c r="C104" s="6" t="s">
        <v>217</v>
      </c>
      <c r="D104" s="23" t="s">
        <v>84</v>
      </c>
      <c r="E104" s="23" t="s">
        <v>117</v>
      </c>
      <c r="F104" s="23"/>
      <c r="G104" s="23"/>
      <c r="H104" s="23"/>
      <c r="I104" s="23"/>
      <c r="J104" s="23" t="s">
        <v>115</v>
      </c>
      <c r="K104" s="7" t="str">
        <f>IFERROR(VLOOKUP(J104,Condensadoras!A:H,7,0),"")</f>
        <v>Patio Olivera</v>
      </c>
      <c r="L104" s="7" t="str">
        <f>IFERROR(VLOOKUP(J104,Condensadoras!A:H,8,0),"")</f>
        <v>R-410A</v>
      </c>
      <c r="M104" s="27"/>
    </row>
    <row r="105" spans="1:13" ht="29" x14ac:dyDescent="0.35">
      <c r="A105" s="6" t="s">
        <v>145</v>
      </c>
      <c r="B105" s="6">
        <v>1</v>
      </c>
      <c r="C105" s="6" t="s">
        <v>217</v>
      </c>
      <c r="D105" s="23" t="s">
        <v>84</v>
      </c>
      <c r="E105" s="23" t="s">
        <v>146</v>
      </c>
      <c r="F105" s="6"/>
      <c r="G105" s="6"/>
      <c r="H105" s="6"/>
      <c r="I105" s="6"/>
      <c r="J105" s="6" t="s">
        <v>135</v>
      </c>
      <c r="K105" s="7" t="str">
        <f>IFERROR(VLOOKUP(J105,Condensadoras!A:H,7,0),"")</f>
        <v>Azotea-Detrás</v>
      </c>
      <c r="L105" s="7" t="str">
        <f>IFERROR(VLOOKUP(J105,Condensadoras!A:H,8,0),"")</f>
        <v>R-410A</v>
      </c>
      <c r="M105" s="27"/>
    </row>
    <row r="106" spans="1:13" ht="29" x14ac:dyDescent="0.35">
      <c r="A106" s="6" t="s">
        <v>147</v>
      </c>
      <c r="B106" s="6">
        <v>1</v>
      </c>
      <c r="C106" s="6" t="s">
        <v>217</v>
      </c>
      <c r="D106" s="23" t="s">
        <v>84</v>
      </c>
      <c r="E106" s="23" t="s">
        <v>148</v>
      </c>
      <c r="F106" s="6"/>
      <c r="G106" s="6"/>
      <c r="H106" s="6"/>
      <c r="I106" s="6"/>
      <c r="J106" s="6" t="s">
        <v>135</v>
      </c>
      <c r="K106" s="7" t="str">
        <f>IFERROR(VLOOKUP(J106,Condensadoras!A:H,7,0),"")</f>
        <v>Azotea-Detrás</v>
      </c>
      <c r="L106" s="7" t="str">
        <f>IFERROR(VLOOKUP(J106,Condensadoras!A:H,8,0),"")</f>
        <v>R-410A</v>
      </c>
      <c r="M106" s="27"/>
    </row>
  </sheetData>
  <autoFilter ref="A1:L106" xr:uid="{00000000-0001-0000-0000-000000000000}">
    <sortState xmlns:xlrd2="http://schemas.microsoft.com/office/spreadsheetml/2017/richdata2" ref="A2:L106">
      <sortCondition ref="D1:D106"/>
    </sortState>
  </autoFilter>
  <pageMargins left="0" right="0" top="0" bottom="0" header="0" footer="0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177E-C220-4201-AC7E-A07B4BA8E090}">
  <dimension ref="A1:M33"/>
  <sheetViews>
    <sheetView workbookViewId="0">
      <selection activeCell="D34" sqref="D34"/>
    </sheetView>
  </sheetViews>
  <sheetFormatPr baseColWidth="10" defaultColWidth="11.453125" defaultRowHeight="14.5" x14ac:dyDescent="0.35"/>
  <cols>
    <col min="1" max="1" width="17.36328125" bestFit="1" customWidth="1"/>
    <col min="2" max="2" width="17.7265625" bestFit="1" customWidth="1"/>
    <col min="3" max="3" width="9.81640625" bestFit="1" customWidth="1"/>
    <col min="4" max="4" width="10.6328125" bestFit="1" customWidth="1"/>
    <col min="5" max="5" width="15.7265625" bestFit="1" customWidth="1"/>
    <col min="6" max="6" width="21.26953125" bestFit="1" customWidth="1"/>
    <col min="7" max="7" width="33.08984375" style="3" bestFit="1" customWidth="1"/>
    <col min="8" max="8" width="8.7265625" style="3" bestFit="1" customWidth="1"/>
    <col min="9" max="9" width="23.08984375" style="3" bestFit="1" customWidth="1"/>
    <col min="10" max="10" width="23.08984375" style="3" customWidth="1"/>
    <col min="11" max="11" width="21.90625" bestFit="1" customWidth="1"/>
    <col min="12" max="12" width="6.90625" bestFit="1" customWidth="1"/>
    <col min="13" max="13" width="21.90625" bestFit="1" customWidth="1"/>
    <col min="15" max="41" width="22.453125" bestFit="1" customWidth="1"/>
    <col min="42" max="42" width="12.54296875" bestFit="1" customWidth="1"/>
  </cols>
  <sheetData>
    <row r="1" spans="1:13" x14ac:dyDescent="0.35">
      <c r="A1" s="4" t="s">
        <v>2</v>
      </c>
      <c r="B1" s="4" t="s">
        <v>215</v>
      </c>
      <c r="C1" s="4" t="s">
        <v>216</v>
      </c>
      <c r="D1" s="5" t="s">
        <v>170</v>
      </c>
      <c r="E1" s="5" t="s">
        <v>171</v>
      </c>
      <c r="F1" s="5" t="s">
        <v>220</v>
      </c>
      <c r="G1" s="5" t="s">
        <v>209</v>
      </c>
      <c r="H1" s="5" t="s">
        <v>1</v>
      </c>
      <c r="I1" s="5" t="s">
        <v>222</v>
      </c>
      <c r="J1" s="30" t="s">
        <v>237</v>
      </c>
      <c r="K1" s="30" t="s">
        <v>214</v>
      </c>
      <c r="L1" s="30" t="s">
        <v>218</v>
      </c>
      <c r="M1" s="30" t="s">
        <v>223</v>
      </c>
    </row>
    <row r="2" spans="1:13" x14ac:dyDescent="0.35">
      <c r="A2" s="12" t="s">
        <v>11</v>
      </c>
      <c r="B2" s="12">
        <v>1</v>
      </c>
      <c r="C2" s="12"/>
      <c r="D2" s="13" t="s">
        <v>172</v>
      </c>
      <c r="E2" s="13"/>
      <c r="F2" s="21"/>
      <c r="G2" s="12" t="s">
        <v>14</v>
      </c>
      <c r="H2" s="12" t="s">
        <v>8</v>
      </c>
      <c r="I2" s="15">
        <v>39083</v>
      </c>
      <c r="J2" s="32"/>
      <c r="M2" t="s">
        <v>173</v>
      </c>
    </row>
    <row r="3" spans="1:13" x14ac:dyDescent="0.35">
      <c r="A3" s="12" t="s">
        <v>26</v>
      </c>
      <c r="B3" s="12">
        <v>1</v>
      </c>
      <c r="C3" s="12"/>
      <c r="D3" s="13" t="s">
        <v>172</v>
      </c>
      <c r="E3" s="12" t="s">
        <v>174</v>
      </c>
      <c r="F3" s="22"/>
      <c r="G3" s="12" t="s">
        <v>28</v>
      </c>
      <c r="H3" s="13" t="s">
        <v>8</v>
      </c>
      <c r="I3" s="15">
        <v>45825</v>
      </c>
      <c r="J3" s="32"/>
    </row>
    <row r="4" spans="1:13" x14ac:dyDescent="0.35">
      <c r="A4" s="12" t="s">
        <v>37</v>
      </c>
      <c r="B4" s="12">
        <v>1</v>
      </c>
      <c r="C4" s="12"/>
      <c r="D4" s="13" t="s">
        <v>172</v>
      </c>
      <c r="E4" s="13"/>
      <c r="F4" s="21"/>
      <c r="G4" s="12" t="s">
        <v>14</v>
      </c>
      <c r="H4" s="12" t="s">
        <v>8</v>
      </c>
      <c r="I4" s="15">
        <v>40909</v>
      </c>
      <c r="J4" s="32"/>
      <c r="M4" t="s">
        <v>173</v>
      </c>
    </row>
    <row r="5" spans="1:13" x14ac:dyDescent="0.35">
      <c r="A5" s="12" t="s">
        <v>48</v>
      </c>
      <c r="B5" s="12">
        <v>1</v>
      </c>
      <c r="C5" s="12"/>
      <c r="D5" s="13" t="s">
        <v>172</v>
      </c>
      <c r="E5" s="13"/>
      <c r="F5" s="21"/>
      <c r="G5" s="12" t="s">
        <v>14</v>
      </c>
      <c r="H5" s="12" t="s">
        <v>8</v>
      </c>
      <c r="I5" s="15">
        <v>40909</v>
      </c>
      <c r="J5" s="32"/>
      <c r="M5" t="s">
        <v>173</v>
      </c>
    </row>
    <row r="6" spans="1:13" x14ac:dyDescent="0.35">
      <c r="A6" s="12" t="s">
        <v>62</v>
      </c>
      <c r="B6" s="12">
        <v>1</v>
      </c>
      <c r="C6" s="12"/>
      <c r="D6" s="13" t="s">
        <v>172</v>
      </c>
      <c r="E6" s="13" t="s">
        <v>175</v>
      </c>
      <c r="F6" s="21"/>
      <c r="G6" s="12" t="s">
        <v>14</v>
      </c>
      <c r="H6" s="12" t="s">
        <v>9</v>
      </c>
      <c r="I6" s="15">
        <v>39083</v>
      </c>
      <c r="J6" s="32"/>
      <c r="M6" t="s">
        <v>173</v>
      </c>
    </row>
    <row r="7" spans="1:13" x14ac:dyDescent="0.35">
      <c r="A7" s="12" t="s">
        <v>65</v>
      </c>
      <c r="B7" s="12">
        <v>1</v>
      </c>
      <c r="C7" s="12"/>
      <c r="D7" s="13" t="s">
        <v>172</v>
      </c>
      <c r="E7" s="13" t="s">
        <v>175</v>
      </c>
      <c r="F7" s="21"/>
      <c r="G7" s="12" t="s">
        <v>14</v>
      </c>
      <c r="H7" s="12" t="s">
        <v>9</v>
      </c>
      <c r="I7" s="15">
        <v>39083</v>
      </c>
      <c r="J7" s="32"/>
      <c r="M7" t="s">
        <v>173</v>
      </c>
    </row>
    <row r="8" spans="1:13" x14ac:dyDescent="0.35">
      <c r="A8" s="12" t="s">
        <v>176</v>
      </c>
      <c r="B8" s="12">
        <v>1</v>
      </c>
      <c r="C8" s="12"/>
      <c r="D8" s="13" t="s">
        <v>172</v>
      </c>
      <c r="E8" s="13"/>
      <c r="F8" s="21"/>
      <c r="G8" s="12" t="s">
        <v>14</v>
      </c>
      <c r="H8" s="12" t="s">
        <v>177</v>
      </c>
      <c r="I8" s="15"/>
      <c r="J8" s="32">
        <v>42004</v>
      </c>
      <c r="M8" t="s">
        <v>178</v>
      </c>
    </row>
    <row r="9" spans="1:13" x14ac:dyDescent="0.35">
      <c r="A9" s="12" t="s">
        <v>107</v>
      </c>
      <c r="B9" s="12">
        <v>1</v>
      </c>
      <c r="C9" s="12"/>
      <c r="D9" s="13" t="s">
        <v>172</v>
      </c>
      <c r="E9" s="13"/>
      <c r="F9" s="21"/>
      <c r="G9" s="12" t="s">
        <v>14</v>
      </c>
      <c r="H9" s="12" t="s">
        <v>177</v>
      </c>
      <c r="I9" s="15">
        <v>40909</v>
      </c>
      <c r="J9" s="32"/>
      <c r="M9" t="s">
        <v>173</v>
      </c>
    </row>
    <row r="10" spans="1:13" x14ac:dyDescent="0.35">
      <c r="A10" s="12" t="s">
        <v>68</v>
      </c>
      <c r="B10" s="12">
        <v>1</v>
      </c>
      <c r="C10" s="12"/>
      <c r="D10" s="13" t="s">
        <v>172</v>
      </c>
      <c r="E10" s="13"/>
      <c r="F10" s="21"/>
      <c r="G10" s="12" t="s">
        <v>14</v>
      </c>
      <c r="H10" s="12" t="s">
        <v>8</v>
      </c>
      <c r="I10" s="15">
        <v>40909</v>
      </c>
      <c r="J10" s="32"/>
      <c r="M10" t="s">
        <v>173</v>
      </c>
    </row>
    <row r="11" spans="1:13" x14ac:dyDescent="0.35">
      <c r="A11" s="12" t="s">
        <v>74</v>
      </c>
      <c r="B11" s="12">
        <v>1</v>
      </c>
      <c r="C11" s="12"/>
      <c r="D11" s="13" t="s">
        <v>172</v>
      </c>
      <c r="E11" s="13"/>
      <c r="F11" s="21"/>
      <c r="G11" s="12" t="s">
        <v>14</v>
      </c>
      <c r="H11" s="12" t="s">
        <v>8</v>
      </c>
      <c r="I11" s="15">
        <v>40909</v>
      </c>
      <c r="J11" s="32"/>
      <c r="M11" t="s">
        <v>173</v>
      </c>
    </row>
    <row r="12" spans="1:13" x14ac:dyDescent="0.35">
      <c r="A12" s="12" t="s">
        <v>87</v>
      </c>
      <c r="B12" s="12">
        <v>1</v>
      </c>
      <c r="C12" s="12"/>
      <c r="D12" s="13" t="s">
        <v>172</v>
      </c>
      <c r="E12" s="13" t="s">
        <v>179</v>
      </c>
      <c r="F12" s="21"/>
      <c r="G12" s="12" t="s">
        <v>14</v>
      </c>
      <c r="H12" s="12" t="s">
        <v>8</v>
      </c>
      <c r="I12" s="15">
        <v>40909</v>
      </c>
      <c r="J12" s="32"/>
      <c r="M12" t="s">
        <v>173</v>
      </c>
    </row>
    <row r="13" spans="1:13" x14ac:dyDescent="0.35">
      <c r="A13" s="12" t="s">
        <v>92</v>
      </c>
      <c r="B13" s="12">
        <v>1</v>
      </c>
      <c r="C13" s="12"/>
      <c r="D13" s="13" t="s">
        <v>172</v>
      </c>
      <c r="E13" s="13" t="s">
        <v>179</v>
      </c>
      <c r="F13" s="21"/>
      <c r="G13" s="12" t="s">
        <v>93</v>
      </c>
      <c r="H13" s="12" t="s">
        <v>8</v>
      </c>
      <c r="I13" s="15">
        <v>40909</v>
      </c>
      <c r="J13" s="32"/>
      <c r="M13" t="s">
        <v>173</v>
      </c>
    </row>
    <row r="14" spans="1:13" x14ac:dyDescent="0.35">
      <c r="A14" s="12" t="s">
        <v>180</v>
      </c>
      <c r="B14" s="12">
        <v>1</v>
      </c>
      <c r="C14" s="12"/>
      <c r="D14" s="13" t="s">
        <v>172</v>
      </c>
      <c r="E14" s="13"/>
      <c r="F14" s="21"/>
      <c r="G14" s="12" t="s">
        <v>136</v>
      </c>
      <c r="H14" s="13" t="s">
        <v>181</v>
      </c>
      <c r="I14" s="15"/>
      <c r="J14" s="32">
        <v>42004</v>
      </c>
      <c r="M14" t="s">
        <v>178</v>
      </c>
    </row>
    <row r="15" spans="1:13" x14ac:dyDescent="0.35">
      <c r="A15" s="12" t="s">
        <v>182</v>
      </c>
      <c r="B15" s="12">
        <v>1</v>
      </c>
      <c r="C15" s="12"/>
      <c r="D15" s="13" t="s">
        <v>172</v>
      </c>
      <c r="E15" s="13"/>
      <c r="F15" s="21"/>
      <c r="G15" s="12" t="s">
        <v>93</v>
      </c>
      <c r="H15" s="13" t="s">
        <v>181</v>
      </c>
      <c r="I15" s="15"/>
      <c r="J15" s="32">
        <v>42004</v>
      </c>
      <c r="M15" t="s">
        <v>178</v>
      </c>
    </row>
    <row r="16" spans="1:13" x14ac:dyDescent="0.35">
      <c r="A16" s="12" t="s">
        <v>96</v>
      </c>
      <c r="B16" s="12">
        <v>1</v>
      </c>
      <c r="C16" s="12"/>
      <c r="D16" s="13" t="s">
        <v>172</v>
      </c>
      <c r="E16" s="13" t="s">
        <v>183</v>
      </c>
      <c r="F16" s="21"/>
      <c r="G16" s="12" t="s">
        <v>93</v>
      </c>
      <c r="H16" s="12" t="s">
        <v>8</v>
      </c>
      <c r="I16" s="15">
        <v>38718</v>
      </c>
      <c r="J16" s="32"/>
      <c r="M16" t="s">
        <v>173</v>
      </c>
    </row>
    <row r="17" spans="1:13" x14ac:dyDescent="0.35">
      <c r="A17" s="12" t="s">
        <v>98</v>
      </c>
      <c r="B17" s="12">
        <v>1</v>
      </c>
      <c r="C17" s="12"/>
      <c r="D17" s="13" t="s">
        <v>172</v>
      </c>
      <c r="E17" s="13" t="s">
        <v>183</v>
      </c>
      <c r="F17" s="21"/>
      <c r="G17" s="12" t="s">
        <v>93</v>
      </c>
      <c r="H17" s="12" t="s">
        <v>8</v>
      </c>
      <c r="I17" s="15">
        <v>38718</v>
      </c>
      <c r="J17" s="32"/>
      <c r="M17" t="s">
        <v>173</v>
      </c>
    </row>
    <row r="18" spans="1:13" x14ac:dyDescent="0.35">
      <c r="A18" s="12" t="s">
        <v>100</v>
      </c>
      <c r="B18" s="12">
        <v>1</v>
      </c>
      <c r="C18" s="12"/>
      <c r="D18" s="13" t="s">
        <v>172</v>
      </c>
      <c r="E18" s="13" t="s">
        <v>183</v>
      </c>
      <c r="F18" s="21"/>
      <c r="G18" s="12" t="s">
        <v>93</v>
      </c>
      <c r="H18" s="12" t="s">
        <v>8</v>
      </c>
      <c r="I18" s="15">
        <v>38718</v>
      </c>
      <c r="J18" s="32"/>
      <c r="M18" t="s">
        <v>173</v>
      </c>
    </row>
    <row r="19" spans="1:13" x14ac:dyDescent="0.35">
      <c r="A19" s="12" t="s">
        <v>102</v>
      </c>
      <c r="B19" s="12">
        <v>1</v>
      </c>
      <c r="C19" s="12"/>
      <c r="D19" s="13" t="s">
        <v>172</v>
      </c>
      <c r="E19" s="13" t="s">
        <v>184</v>
      </c>
      <c r="F19" s="21"/>
      <c r="G19" s="12" t="s">
        <v>93</v>
      </c>
      <c r="H19" s="12" t="s">
        <v>9</v>
      </c>
      <c r="I19" s="15">
        <v>43831</v>
      </c>
      <c r="J19" s="32"/>
      <c r="M19" t="s">
        <v>173</v>
      </c>
    </row>
    <row r="20" spans="1:13" x14ac:dyDescent="0.35">
      <c r="A20" s="12" t="s">
        <v>104</v>
      </c>
      <c r="B20" s="12">
        <v>1</v>
      </c>
      <c r="C20" s="12"/>
      <c r="D20" s="13" t="s">
        <v>172</v>
      </c>
      <c r="E20" s="13" t="s">
        <v>185</v>
      </c>
      <c r="F20" s="21"/>
      <c r="G20" s="12" t="s">
        <v>93</v>
      </c>
      <c r="H20" s="12" t="s">
        <v>9</v>
      </c>
      <c r="I20" s="15">
        <v>42005</v>
      </c>
      <c r="J20" s="32"/>
      <c r="M20" t="s">
        <v>173</v>
      </c>
    </row>
    <row r="21" spans="1:13" x14ac:dyDescent="0.35">
      <c r="A21" s="12" t="s">
        <v>186</v>
      </c>
      <c r="B21" s="12">
        <v>1</v>
      </c>
      <c r="C21" s="12"/>
      <c r="D21" s="13" t="s">
        <v>172</v>
      </c>
      <c r="E21" s="13"/>
      <c r="F21" s="21"/>
      <c r="G21" s="12" t="s">
        <v>136</v>
      </c>
      <c r="H21" s="13" t="s">
        <v>181</v>
      </c>
      <c r="I21" s="15"/>
      <c r="J21" s="32">
        <v>42004</v>
      </c>
      <c r="M21" t="s">
        <v>187</v>
      </c>
    </row>
    <row r="22" spans="1:13" x14ac:dyDescent="0.35">
      <c r="A22" s="12" t="s">
        <v>188</v>
      </c>
      <c r="B22" s="12">
        <v>1</v>
      </c>
      <c r="C22" s="12"/>
      <c r="D22" s="13" t="s">
        <v>172</v>
      </c>
      <c r="E22" s="13"/>
      <c r="F22" s="21"/>
      <c r="G22" s="12" t="s">
        <v>136</v>
      </c>
      <c r="H22" s="13" t="s">
        <v>181</v>
      </c>
      <c r="I22" s="15"/>
      <c r="J22" s="32">
        <v>42004</v>
      </c>
      <c r="M22" t="s">
        <v>189</v>
      </c>
    </row>
    <row r="23" spans="1:13" x14ac:dyDescent="0.35">
      <c r="A23" s="12" t="s">
        <v>115</v>
      </c>
      <c r="B23" s="12">
        <v>1</v>
      </c>
      <c r="C23" s="12"/>
      <c r="D23" s="13" t="s">
        <v>172</v>
      </c>
      <c r="E23" s="13" t="s">
        <v>175</v>
      </c>
      <c r="F23" s="21"/>
      <c r="G23" s="12" t="s">
        <v>190</v>
      </c>
      <c r="H23" s="13" t="s">
        <v>8</v>
      </c>
      <c r="I23" s="15">
        <v>45474</v>
      </c>
      <c r="J23" s="32"/>
    </row>
    <row r="24" spans="1:13" x14ac:dyDescent="0.35">
      <c r="A24" s="12" t="s">
        <v>118</v>
      </c>
      <c r="B24" s="12">
        <v>1</v>
      </c>
      <c r="C24" s="12"/>
      <c r="D24" s="13" t="s">
        <v>172</v>
      </c>
      <c r="E24" s="13" t="s">
        <v>185</v>
      </c>
      <c r="F24" s="21"/>
      <c r="G24" s="12" t="s">
        <v>93</v>
      </c>
      <c r="H24" s="12" t="s">
        <v>9</v>
      </c>
      <c r="I24" s="15">
        <v>42005</v>
      </c>
      <c r="J24" s="32"/>
      <c r="M24" t="s">
        <v>173</v>
      </c>
    </row>
    <row r="25" spans="1:13" x14ac:dyDescent="0.35">
      <c r="A25" s="12" t="s">
        <v>191</v>
      </c>
      <c r="B25" s="12">
        <v>1</v>
      </c>
      <c r="C25" s="12"/>
      <c r="D25" s="13" t="s">
        <v>172</v>
      </c>
      <c r="E25" s="13"/>
      <c r="F25" s="21"/>
      <c r="G25" s="12" t="s">
        <v>136</v>
      </c>
      <c r="H25" s="13" t="s">
        <v>181</v>
      </c>
      <c r="I25" s="15"/>
      <c r="J25" s="32">
        <v>42004</v>
      </c>
    </row>
    <row r="26" spans="1:13" x14ac:dyDescent="0.35">
      <c r="A26" s="12" t="s">
        <v>121</v>
      </c>
      <c r="B26" s="12">
        <v>1</v>
      </c>
      <c r="C26" s="12"/>
      <c r="D26" s="13" t="s">
        <v>172</v>
      </c>
      <c r="E26" s="13" t="s">
        <v>192</v>
      </c>
      <c r="F26" s="21"/>
      <c r="G26" s="12" t="s">
        <v>93</v>
      </c>
      <c r="H26" s="12" t="s">
        <v>8</v>
      </c>
      <c r="I26" s="15">
        <v>42005</v>
      </c>
      <c r="J26" s="32"/>
      <c r="M26" t="s">
        <v>173</v>
      </c>
    </row>
    <row r="27" spans="1:13" x14ac:dyDescent="0.35">
      <c r="A27" s="12" t="s">
        <v>124</v>
      </c>
      <c r="B27" s="12">
        <v>1</v>
      </c>
      <c r="C27" s="12"/>
      <c r="D27" s="13" t="s">
        <v>172</v>
      </c>
      <c r="E27" s="13" t="s">
        <v>192</v>
      </c>
      <c r="F27" s="21"/>
      <c r="G27" s="12" t="s">
        <v>93</v>
      </c>
      <c r="H27" s="12" t="s">
        <v>8</v>
      </c>
      <c r="I27" s="15">
        <v>42005</v>
      </c>
      <c r="J27" s="32"/>
      <c r="M27" t="s">
        <v>173</v>
      </c>
    </row>
    <row r="28" spans="1:13" x14ac:dyDescent="0.35">
      <c r="A28" s="12" t="s">
        <v>126</v>
      </c>
      <c r="B28" s="12">
        <v>1</v>
      </c>
      <c r="C28" s="12"/>
      <c r="D28" s="13" t="s">
        <v>172</v>
      </c>
      <c r="E28" s="13" t="s">
        <v>179</v>
      </c>
      <c r="F28" s="21"/>
      <c r="G28" s="12" t="s">
        <v>93</v>
      </c>
      <c r="H28" s="12" t="s">
        <v>8</v>
      </c>
      <c r="I28" s="15">
        <v>42005</v>
      </c>
      <c r="J28" s="32"/>
      <c r="M28" t="s">
        <v>173</v>
      </c>
    </row>
    <row r="29" spans="1:13" x14ac:dyDescent="0.35">
      <c r="A29" s="12" t="s">
        <v>129</v>
      </c>
      <c r="B29" s="12">
        <v>1</v>
      </c>
      <c r="C29" s="12"/>
      <c r="D29" s="13" t="s">
        <v>172</v>
      </c>
      <c r="E29" s="13" t="s">
        <v>193</v>
      </c>
      <c r="F29" s="21"/>
      <c r="G29" s="12" t="s">
        <v>190</v>
      </c>
      <c r="H29" s="12" t="s">
        <v>8</v>
      </c>
      <c r="I29" s="15">
        <v>42005</v>
      </c>
      <c r="J29" s="32"/>
      <c r="M29" t="s">
        <v>173</v>
      </c>
    </row>
    <row r="30" spans="1:13" x14ac:dyDescent="0.35">
      <c r="A30" s="6" t="s">
        <v>133</v>
      </c>
      <c r="B30" s="12">
        <v>1</v>
      </c>
      <c r="C30" s="21"/>
      <c r="D30" s="13" t="s">
        <v>172</v>
      </c>
      <c r="E30" s="13" t="s">
        <v>185</v>
      </c>
      <c r="F30" s="21"/>
      <c r="G30" s="12" t="s">
        <v>190</v>
      </c>
      <c r="H30" s="12" t="s">
        <v>9</v>
      </c>
      <c r="I30" s="15">
        <v>42005</v>
      </c>
      <c r="J30" s="32"/>
      <c r="M30" t="s">
        <v>173</v>
      </c>
    </row>
    <row r="31" spans="1:13" x14ac:dyDescent="0.35">
      <c r="A31" s="6" t="s">
        <v>135</v>
      </c>
      <c r="B31" s="12">
        <v>1</v>
      </c>
      <c r="C31" s="21"/>
      <c r="D31" s="13" t="s">
        <v>172</v>
      </c>
      <c r="E31" s="20" t="s">
        <v>168</v>
      </c>
      <c r="F31" s="21"/>
      <c r="G31" s="12" t="s">
        <v>136</v>
      </c>
      <c r="H31" s="13" t="s">
        <v>8</v>
      </c>
      <c r="I31" s="15">
        <v>45506</v>
      </c>
      <c r="J31" s="32"/>
    </row>
    <row r="32" spans="1:13" x14ac:dyDescent="0.35">
      <c r="A32" s="6" t="s">
        <v>149</v>
      </c>
      <c r="B32" s="12">
        <v>1</v>
      </c>
      <c r="C32" s="21"/>
      <c r="D32" s="13" t="s">
        <v>172</v>
      </c>
      <c r="E32" s="6" t="s">
        <v>194</v>
      </c>
      <c r="F32" s="22"/>
      <c r="G32" s="12" t="s">
        <v>14</v>
      </c>
      <c r="H32" s="13" t="s">
        <v>8</v>
      </c>
      <c r="I32" s="15">
        <v>42005</v>
      </c>
      <c r="J32" s="32"/>
      <c r="M32" t="s">
        <v>173</v>
      </c>
    </row>
    <row r="33" spans="1:10" x14ac:dyDescent="0.35">
      <c r="A33" s="6" t="s">
        <v>154</v>
      </c>
      <c r="B33" s="12">
        <v>1</v>
      </c>
      <c r="C33" s="21"/>
      <c r="D33" s="13" t="s">
        <v>172</v>
      </c>
      <c r="E33" s="6" t="s">
        <v>194</v>
      </c>
      <c r="F33" s="20"/>
      <c r="G33" s="6" t="s">
        <v>14</v>
      </c>
      <c r="H33" s="13" t="s">
        <v>8</v>
      </c>
      <c r="I33" s="15">
        <v>45825</v>
      </c>
      <c r="J33" s="32"/>
    </row>
  </sheetData>
  <autoFilter ref="A1:M33" xr:uid="{BCF1177E-C220-4201-AC7E-A07B4BA8E090}"/>
  <pageMargins left="0.25" right="0.25" top="0.75" bottom="0.75" header="0.3" footer="0.3"/>
  <pageSetup paperSize="9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44CDF-8C60-4911-9162-351099C8917B}">
  <dimension ref="B2:L15"/>
  <sheetViews>
    <sheetView workbookViewId="0">
      <selection activeCell="C6" sqref="C6"/>
    </sheetView>
  </sheetViews>
  <sheetFormatPr baseColWidth="10" defaultColWidth="11.453125" defaultRowHeight="14.5" x14ac:dyDescent="0.35"/>
  <cols>
    <col min="3" max="3" width="8.7265625" style="3" customWidth="1"/>
    <col min="4" max="4" width="14" style="3" bestFit="1" customWidth="1"/>
    <col min="5" max="5" width="17.1796875" style="3" customWidth="1"/>
    <col min="9" max="9" width="16.453125" customWidth="1"/>
    <col min="12" max="12" width="12.453125" bestFit="1" customWidth="1"/>
  </cols>
  <sheetData>
    <row r="2" spans="2:12" x14ac:dyDescent="0.35">
      <c r="D2" s="37" t="s">
        <v>195</v>
      </c>
      <c r="E2" s="37"/>
      <c r="H2" s="37" t="s">
        <v>196</v>
      </c>
      <c r="I2" s="37"/>
      <c r="K2" t="s">
        <v>197</v>
      </c>
    </row>
    <row r="3" spans="2:12" ht="16" x14ac:dyDescent="0.35">
      <c r="C3" s="2" t="s">
        <v>198</v>
      </c>
      <c r="D3" s="2" t="s">
        <v>199</v>
      </c>
      <c r="E3" s="2" t="s">
        <v>109</v>
      </c>
      <c r="H3" s="2" t="s">
        <v>199</v>
      </c>
      <c r="I3" s="2" t="s">
        <v>109</v>
      </c>
      <c r="K3" s="16" t="s">
        <v>200</v>
      </c>
    </row>
    <row r="4" spans="2:12" ht="16" x14ac:dyDescent="0.35">
      <c r="B4" s="1" t="s">
        <v>201</v>
      </c>
      <c r="C4" s="2"/>
      <c r="D4" s="2"/>
      <c r="E4" s="2"/>
      <c r="G4" s="1" t="s">
        <v>201</v>
      </c>
      <c r="H4" s="2"/>
      <c r="I4" s="2"/>
      <c r="K4" s="16" t="s">
        <v>202</v>
      </c>
    </row>
    <row r="5" spans="2:12" ht="16" x14ac:dyDescent="0.35">
      <c r="B5" s="1" t="s">
        <v>181</v>
      </c>
      <c r="C5" s="2"/>
      <c r="D5" s="2"/>
      <c r="E5" s="2"/>
      <c r="G5" s="1" t="s">
        <v>181</v>
      </c>
      <c r="H5" s="2"/>
      <c r="I5" s="2"/>
      <c r="K5" s="16" t="s">
        <v>203</v>
      </c>
    </row>
    <row r="6" spans="2:12" x14ac:dyDescent="0.35">
      <c r="B6" s="1" t="s">
        <v>177</v>
      </c>
      <c r="C6" s="2">
        <v>1774</v>
      </c>
      <c r="D6" s="2" t="s">
        <v>204</v>
      </c>
      <c r="E6" s="2" t="s">
        <v>204</v>
      </c>
      <c r="G6" s="1" t="s">
        <v>177</v>
      </c>
      <c r="H6" s="2" t="s">
        <v>204</v>
      </c>
      <c r="I6" s="2" t="s">
        <v>204</v>
      </c>
    </row>
    <row r="7" spans="2:12" x14ac:dyDescent="0.35">
      <c r="B7" s="1" t="s">
        <v>8</v>
      </c>
      <c r="C7" s="2">
        <v>2088</v>
      </c>
      <c r="D7" s="2">
        <v>2025</v>
      </c>
      <c r="E7" s="2" t="s">
        <v>205</v>
      </c>
      <c r="G7" s="1" t="s">
        <v>8</v>
      </c>
      <c r="H7" s="2">
        <v>2029</v>
      </c>
      <c r="I7" s="2" t="s">
        <v>206</v>
      </c>
    </row>
    <row r="8" spans="2:12" x14ac:dyDescent="0.35">
      <c r="B8" s="1" t="s">
        <v>9</v>
      </c>
      <c r="C8" s="2">
        <v>675</v>
      </c>
      <c r="D8" s="2" t="s">
        <v>207</v>
      </c>
      <c r="E8" s="2" t="s">
        <v>205</v>
      </c>
      <c r="G8" s="1" t="s">
        <v>9</v>
      </c>
      <c r="H8" s="2">
        <v>2033</v>
      </c>
      <c r="I8" s="2" t="s">
        <v>206</v>
      </c>
    </row>
    <row r="11" spans="2:12" ht="16" x14ac:dyDescent="0.45">
      <c r="L11" s="19"/>
    </row>
    <row r="13" spans="2:12" x14ac:dyDescent="0.35">
      <c r="D13" s="14"/>
    </row>
    <row r="14" spans="2:12" x14ac:dyDescent="0.35">
      <c r="D14" s="14"/>
    </row>
    <row r="15" spans="2:12" x14ac:dyDescent="0.35">
      <c r="D15" s="14"/>
    </row>
  </sheetData>
  <mergeCells count="2">
    <mergeCell ref="H2:I2"/>
    <mergeCell ref="D2:E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4DCAC-E368-49BD-8A59-448AF3468EBD}">
  <dimension ref="A1:H1"/>
  <sheetViews>
    <sheetView workbookViewId="0">
      <selection activeCell="A2" sqref="A2"/>
    </sheetView>
  </sheetViews>
  <sheetFormatPr baseColWidth="10" defaultRowHeight="14.5" x14ac:dyDescent="0.35"/>
  <sheetData>
    <row r="1" spans="1:8" x14ac:dyDescent="0.35">
      <c r="A1" t="s">
        <v>230</v>
      </c>
      <c r="B1" t="s">
        <v>224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D949B-5A4C-4EFC-852D-1A89DEFEA028}">
  <dimension ref="A1:E5"/>
  <sheetViews>
    <sheetView workbookViewId="0">
      <selection activeCell="A7" sqref="A7"/>
    </sheetView>
  </sheetViews>
  <sheetFormatPr baseColWidth="10" defaultRowHeight="14.5" x14ac:dyDescent="0.35"/>
  <cols>
    <col min="2" max="2" width="17" bestFit="1" customWidth="1"/>
    <col min="3" max="4" width="14.54296875" bestFit="1" customWidth="1"/>
    <col min="5" max="5" width="14.7265625" bestFit="1" customWidth="1"/>
  </cols>
  <sheetData>
    <row r="1" spans="1:5" x14ac:dyDescent="0.35">
      <c r="A1" t="s">
        <v>1</v>
      </c>
      <c r="B1" t="s">
        <v>198</v>
      </c>
      <c r="C1" t="s">
        <v>235</v>
      </c>
      <c r="D1" t="s">
        <v>236</v>
      </c>
      <c r="E1" t="s">
        <v>223</v>
      </c>
    </row>
    <row r="2" spans="1:5" x14ac:dyDescent="0.35">
      <c r="A2" t="s">
        <v>181</v>
      </c>
    </row>
    <row r="3" spans="1:5" x14ac:dyDescent="0.35">
      <c r="A3" t="s">
        <v>9</v>
      </c>
      <c r="B3" s="3">
        <v>675</v>
      </c>
      <c r="E3" s="3" t="s">
        <v>207</v>
      </c>
    </row>
    <row r="4" spans="1:5" x14ac:dyDescent="0.35">
      <c r="A4" t="s">
        <v>177</v>
      </c>
      <c r="B4" s="3">
        <v>1774</v>
      </c>
    </row>
    <row r="5" spans="1:5" x14ac:dyDescent="0.35">
      <c r="A5" t="s">
        <v>8</v>
      </c>
      <c r="B5" s="3">
        <v>2088</v>
      </c>
    </row>
  </sheetData>
  <sortState xmlns:xlrd2="http://schemas.microsoft.com/office/spreadsheetml/2017/richdata2" ref="A2:E5">
    <sortCondition ref="A2:A5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07D9D-5C6F-4F1A-9879-05D019CB45D8}">
  <dimension ref="A1:B2"/>
  <sheetViews>
    <sheetView workbookViewId="0">
      <selection activeCell="C2" sqref="C2"/>
    </sheetView>
  </sheetViews>
  <sheetFormatPr baseColWidth="10" defaultRowHeight="14.5" x14ac:dyDescent="0.35"/>
  <sheetData>
    <row r="1" spans="1:2" x14ac:dyDescent="0.35">
      <c r="A1" t="s">
        <v>232</v>
      </c>
      <c r="B1" t="s">
        <v>231</v>
      </c>
    </row>
    <row r="2" spans="1:2" x14ac:dyDescent="0.35">
      <c r="A2" s="31" t="s">
        <v>172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E5B6-6158-435B-9BA7-B63F98EE0657}">
  <dimension ref="A1:B3"/>
  <sheetViews>
    <sheetView zoomScaleNormal="100" workbookViewId="0">
      <selection activeCell="C5" sqref="C5"/>
    </sheetView>
  </sheetViews>
  <sheetFormatPr baseColWidth="10" defaultRowHeight="14.5" x14ac:dyDescent="0.35"/>
  <cols>
    <col min="1" max="1" width="16" bestFit="1" customWidth="1"/>
  </cols>
  <sheetData>
    <row r="1" spans="1:2" x14ac:dyDescent="0.35">
      <c r="A1" t="s">
        <v>233</v>
      </c>
      <c r="B1" t="s">
        <v>231</v>
      </c>
    </row>
    <row r="2" spans="1:2" x14ac:dyDescent="0.35">
      <c r="A2" t="s">
        <v>168</v>
      </c>
    </row>
    <row r="3" spans="1:2" x14ac:dyDescent="0.35">
      <c r="A3" t="s">
        <v>169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344B5-42B9-4176-971A-1BB5D13B379D}">
  <dimension ref="A1:B11"/>
  <sheetViews>
    <sheetView workbookViewId="0">
      <selection activeCell="E1" sqref="E1"/>
    </sheetView>
  </sheetViews>
  <sheetFormatPr baseColWidth="10" defaultRowHeight="14.5" x14ac:dyDescent="0.35"/>
  <cols>
    <col min="1" max="1" width="15.7265625" bestFit="1" customWidth="1"/>
  </cols>
  <sheetData>
    <row r="1" spans="1:2" x14ac:dyDescent="0.35">
      <c r="A1" t="s">
        <v>233</v>
      </c>
      <c r="B1" t="s">
        <v>231</v>
      </c>
    </row>
    <row r="2" spans="1:2" x14ac:dyDescent="0.35">
      <c r="A2" t="s">
        <v>193</v>
      </c>
    </row>
    <row r="3" spans="1:2" x14ac:dyDescent="0.35">
      <c r="A3" t="s">
        <v>183</v>
      </c>
    </row>
    <row r="4" spans="1:2" x14ac:dyDescent="0.35">
      <c r="A4" t="s">
        <v>194</v>
      </c>
    </row>
    <row r="5" spans="1:2" x14ac:dyDescent="0.35">
      <c r="A5" t="s">
        <v>168</v>
      </c>
    </row>
    <row r="6" spans="1:2" x14ac:dyDescent="0.35">
      <c r="A6" t="s">
        <v>174</v>
      </c>
    </row>
    <row r="7" spans="1:2" x14ac:dyDescent="0.35">
      <c r="A7" t="s">
        <v>179</v>
      </c>
    </row>
    <row r="8" spans="1:2" x14ac:dyDescent="0.35">
      <c r="A8" t="s">
        <v>192</v>
      </c>
    </row>
    <row r="9" spans="1:2" x14ac:dyDescent="0.35">
      <c r="A9" t="s">
        <v>185</v>
      </c>
    </row>
    <row r="10" spans="1:2" x14ac:dyDescent="0.35">
      <c r="A10" t="s">
        <v>184</v>
      </c>
    </row>
    <row r="11" spans="1:2" x14ac:dyDescent="0.35">
      <c r="A11" t="s">
        <v>175</v>
      </c>
    </row>
  </sheetData>
  <sortState xmlns:xlrd2="http://schemas.microsoft.com/office/spreadsheetml/2017/richdata2" ref="A2:B11">
    <sortCondition ref="A2:A11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627BB-C0EA-4523-818C-80A7EF7928FE}">
  <dimension ref="A1:B6"/>
  <sheetViews>
    <sheetView zoomScaleNormal="100" workbookViewId="0">
      <selection activeCell="H9" sqref="H9"/>
    </sheetView>
  </sheetViews>
  <sheetFormatPr baseColWidth="10" defaultRowHeight="14.5" x14ac:dyDescent="0.35"/>
  <sheetData>
    <row r="1" spans="1:2" x14ac:dyDescent="0.35">
      <c r="A1" t="s">
        <v>226</v>
      </c>
      <c r="B1" t="s">
        <v>231</v>
      </c>
    </row>
    <row r="2" spans="1:2" x14ac:dyDescent="0.35">
      <c r="A2" t="s">
        <v>69</v>
      </c>
    </row>
    <row r="3" spans="1:2" x14ac:dyDescent="0.35">
      <c r="A3" t="s">
        <v>49</v>
      </c>
    </row>
    <row r="4" spans="1:2" x14ac:dyDescent="0.35">
      <c r="A4" t="s">
        <v>27</v>
      </c>
    </row>
    <row r="5" spans="1:2" x14ac:dyDescent="0.35">
      <c r="A5" t="s">
        <v>13</v>
      </c>
    </row>
    <row r="6" spans="1:2" x14ac:dyDescent="0.35">
      <c r="A6" t="s">
        <v>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A3CC9-1ED2-427F-81AB-4B3D5017B338}">
  <dimension ref="A1:A6"/>
  <sheetViews>
    <sheetView zoomScaleNormal="100" workbookViewId="0">
      <selection activeCell="E10" sqref="E10"/>
    </sheetView>
  </sheetViews>
  <sheetFormatPr baseColWidth="10" defaultRowHeight="14.5" x14ac:dyDescent="0.35"/>
  <cols>
    <col min="1" max="1" width="28.54296875" style="17" bestFit="1" customWidth="1"/>
  </cols>
  <sheetData>
    <row r="1" spans="1:1" x14ac:dyDescent="0.35">
      <c r="A1" s="17" t="s">
        <v>234</v>
      </c>
    </row>
    <row r="2" spans="1:1" x14ac:dyDescent="0.35">
      <c r="A2" s="18" t="s">
        <v>14</v>
      </c>
    </row>
    <row r="3" spans="1:1" x14ac:dyDescent="0.35">
      <c r="A3" s="18" t="s">
        <v>93</v>
      </c>
    </row>
    <row r="4" spans="1:1" x14ac:dyDescent="0.35">
      <c r="A4" s="18" t="s">
        <v>136</v>
      </c>
    </row>
    <row r="5" spans="1:1" x14ac:dyDescent="0.35">
      <c r="A5" s="18" t="s">
        <v>28</v>
      </c>
    </row>
    <row r="6" spans="1:1" x14ac:dyDescent="0.35">
      <c r="A6" s="18" t="s">
        <v>190</v>
      </c>
    </row>
  </sheetData>
  <sortState xmlns:xlrd2="http://schemas.microsoft.com/office/spreadsheetml/2017/richdata2" ref="A2:A6">
    <sortCondition ref="A2:A6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CE556-3D09-447C-B365-400ED75CB6CC}">
  <dimension ref="A1:A95"/>
  <sheetViews>
    <sheetView zoomScaleNormal="100" workbookViewId="0">
      <selection activeCell="D3" sqref="D3"/>
    </sheetView>
  </sheetViews>
  <sheetFormatPr baseColWidth="10" defaultRowHeight="14.5" x14ac:dyDescent="0.35"/>
  <sheetData>
    <row r="1" spans="1:1" x14ac:dyDescent="0.35">
      <c r="A1" t="s">
        <v>7</v>
      </c>
    </row>
    <row r="2" spans="1:1" x14ac:dyDescent="0.35">
      <c r="A2" t="s">
        <v>132</v>
      </c>
    </row>
    <row r="3" spans="1:1" x14ac:dyDescent="0.35">
      <c r="A3" t="s">
        <v>71</v>
      </c>
    </row>
    <row r="4" spans="1:1" x14ac:dyDescent="0.35">
      <c r="A4" t="s">
        <v>70</v>
      </c>
    </row>
    <row r="5" spans="1:1" x14ac:dyDescent="0.35">
      <c r="A5" t="s">
        <v>30</v>
      </c>
    </row>
    <row r="6" spans="1:1" x14ac:dyDescent="0.35">
      <c r="A6" t="s">
        <v>81</v>
      </c>
    </row>
    <row r="7" spans="1:1" x14ac:dyDescent="0.35">
      <c r="A7" t="s">
        <v>50</v>
      </c>
    </row>
    <row r="8" spans="1:1" x14ac:dyDescent="0.35">
      <c r="A8" t="s">
        <v>59</v>
      </c>
    </row>
    <row r="9" spans="1:1" x14ac:dyDescent="0.35">
      <c r="A9" t="s">
        <v>134</v>
      </c>
    </row>
    <row r="10" spans="1:1" x14ac:dyDescent="0.35">
      <c r="A10" t="s">
        <v>61</v>
      </c>
    </row>
    <row r="11" spans="1:1" x14ac:dyDescent="0.35">
      <c r="A11" t="s">
        <v>54</v>
      </c>
    </row>
    <row r="12" spans="1:1" x14ac:dyDescent="0.35">
      <c r="A12" t="s">
        <v>157</v>
      </c>
    </row>
    <row r="13" spans="1:1" x14ac:dyDescent="0.35">
      <c r="A13" t="s">
        <v>82</v>
      </c>
    </row>
    <row r="14" spans="1:1" x14ac:dyDescent="0.35">
      <c r="A14" t="s">
        <v>58</v>
      </c>
    </row>
    <row r="15" spans="1:1" x14ac:dyDescent="0.35">
      <c r="A15" t="s">
        <v>60</v>
      </c>
    </row>
    <row r="16" spans="1:1" x14ac:dyDescent="0.35">
      <c r="A16" t="s">
        <v>72</v>
      </c>
    </row>
    <row r="17" spans="1:1" x14ac:dyDescent="0.35">
      <c r="A17" t="s">
        <v>83</v>
      </c>
    </row>
    <row r="18" spans="1:1" x14ac:dyDescent="0.35">
      <c r="A18" t="s">
        <v>117</v>
      </c>
    </row>
    <row r="19" spans="1:1" x14ac:dyDescent="0.35">
      <c r="A19" t="s">
        <v>85</v>
      </c>
    </row>
    <row r="20" spans="1:1" x14ac:dyDescent="0.35">
      <c r="A20" t="s">
        <v>146</v>
      </c>
    </row>
    <row r="21" spans="1:1" x14ac:dyDescent="0.35">
      <c r="A21" t="s">
        <v>86</v>
      </c>
    </row>
    <row r="22" spans="1:1" x14ac:dyDescent="0.35">
      <c r="A22" t="s">
        <v>148</v>
      </c>
    </row>
    <row r="23" spans="1:1" x14ac:dyDescent="0.35">
      <c r="A23" t="s">
        <v>43</v>
      </c>
    </row>
    <row r="24" spans="1:1" x14ac:dyDescent="0.35">
      <c r="A24" t="s">
        <v>120</v>
      </c>
    </row>
    <row r="25" spans="1:1" x14ac:dyDescent="0.35">
      <c r="A25" t="s">
        <v>31</v>
      </c>
    </row>
    <row r="26" spans="1:1" x14ac:dyDescent="0.35">
      <c r="A26" t="s">
        <v>46</v>
      </c>
    </row>
    <row r="27" spans="1:1" x14ac:dyDescent="0.35">
      <c r="A27" t="s">
        <v>42</v>
      </c>
    </row>
    <row r="28" spans="1:1" x14ac:dyDescent="0.35">
      <c r="A28" t="s">
        <v>41</v>
      </c>
    </row>
    <row r="29" spans="1:1" x14ac:dyDescent="0.35">
      <c r="A29" t="s">
        <v>40</v>
      </c>
    </row>
    <row r="30" spans="1:1" x14ac:dyDescent="0.35">
      <c r="A30" t="s">
        <v>57</v>
      </c>
    </row>
    <row r="31" spans="1:1" x14ac:dyDescent="0.35">
      <c r="A31" t="s">
        <v>47</v>
      </c>
    </row>
    <row r="32" spans="1:1" x14ac:dyDescent="0.35">
      <c r="A32" t="s">
        <v>53</v>
      </c>
    </row>
    <row r="33" spans="1:1" x14ac:dyDescent="0.35">
      <c r="A33" t="s">
        <v>142</v>
      </c>
    </row>
    <row r="34" spans="1:1" x14ac:dyDescent="0.35">
      <c r="A34" t="s">
        <v>114</v>
      </c>
    </row>
    <row r="35" spans="1:1" x14ac:dyDescent="0.35">
      <c r="A35" t="s">
        <v>151</v>
      </c>
    </row>
    <row r="36" spans="1:1" x14ac:dyDescent="0.35">
      <c r="A36" t="s">
        <v>75</v>
      </c>
    </row>
    <row r="37" spans="1:1" x14ac:dyDescent="0.35">
      <c r="A37" t="s">
        <v>144</v>
      </c>
    </row>
    <row r="38" spans="1:1" x14ac:dyDescent="0.35">
      <c r="A38" t="s">
        <v>33</v>
      </c>
    </row>
    <row r="39" spans="1:1" x14ac:dyDescent="0.35">
      <c r="A39" t="s">
        <v>15</v>
      </c>
    </row>
    <row r="40" spans="1:1" x14ac:dyDescent="0.35">
      <c r="A40" t="s">
        <v>140</v>
      </c>
    </row>
    <row r="41" spans="1:1" x14ac:dyDescent="0.35">
      <c r="A41" t="s">
        <v>56</v>
      </c>
    </row>
    <row r="42" spans="1:1" x14ac:dyDescent="0.35">
      <c r="A42" t="s">
        <v>106</v>
      </c>
    </row>
    <row r="43" spans="1:1" x14ac:dyDescent="0.35">
      <c r="A43" t="s">
        <v>22</v>
      </c>
    </row>
    <row r="44" spans="1:1" x14ac:dyDescent="0.35">
      <c r="A44" t="s">
        <v>76</v>
      </c>
    </row>
    <row r="45" spans="1:1" x14ac:dyDescent="0.35">
      <c r="A45" t="s">
        <v>80</v>
      </c>
    </row>
    <row r="46" spans="1:1" x14ac:dyDescent="0.35">
      <c r="A46" t="s">
        <v>79</v>
      </c>
    </row>
    <row r="47" spans="1:1" x14ac:dyDescent="0.35">
      <c r="A47" t="s">
        <v>55</v>
      </c>
    </row>
    <row r="48" spans="1:1" x14ac:dyDescent="0.35">
      <c r="A48" t="s">
        <v>77</v>
      </c>
    </row>
    <row r="49" spans="1:1" x14ac:dyDescent="0.35">
      <c r="A49" t="s">
        <v>23</v>
      </c>
    </row>
    <row r="50" spans="1:1" x14ac:dyDescent="0.35">
      <c r="A50" t="s">
        <v>158</v>
      </c>
    </row>
    <row r="51" spans="1:1" x14ac:dyDescent="0.35">
      <c r="A51" t="s">
        <v>78</v>
      </c>
    </row>
    <row r="52" spans="1:1" x14ac:dyDescent="0.35">
      <c r="A52" t="s">
        <v>150</v>
      </c>
    </row>
    <row r="53" spans="1:1" x14ac:dyDescent="0.35">
      <c r="A53" t="s">
        <v>159</v>
      </c>
    </row>
    <row r="54" spans="1:1" x14ac:dyDescent="0.35">
      <c r="A54" t="s">
        <v>109</v>
      </c>
    </row>
    <row r="55" spans="1:1" x14ac:dyDescent="0.35">
      <c r="A55" t="s">
        <v>123</v>
      </c>
    </row>
    <row r="56" spans="1:1" x14ac:dyDescent="0.35">
      <c r="A56" t="s">
        <v>73</v>
      </c>
    </row>
    <row r="57" spans="1:1" x14ac:dyDescent="0.35">
      <c r="A57" t="s">
        <v>21</v>
      </c>
    </row>
    <row r="58" spans="1:1" x14ac:dyDescent="0.35">
      <c r="A58" t="s">
        <v>34</v>
      </c>
    </row>
    <row r="59" spans="1:1" x14ac:dyDescent="0.35">
      <c r="A59" t="s">
        <v>155</v>
      </c>
    </row>
    <row r="60" spans="1:1" x14ac:dyDescent="0.35">
      <c r="A60" t="s">
        <v>153</v>
      </c>
    </row>
    <row r="61" spans="1:1" x14ac:dyDescent="0.35">
      <c r="A61" t="s">
        <v>16</v>
      </c>
    </row>
    <row r="62" spans="1:1" x14ac:dyDescent="0.35">
      <c r="A62" t="s">
        <v>36</v>
      </c>
    </row>
    <row r="63" spans="1:1" x14ac:dyDescent="0.35">
      <c r="A63" t="s">
        <v>44</v>
      </c>
    </row>
    <row r="64" spans="1:1" x14ac:dyDescent="0.35">
      <c r="A64" t="s">
        <v>152</v>
      </c>
    </row>
    <row r="65" spans="1:1" x14ac:dyDescent="0.35">
      <c r="A65" t="s">
        <v>39</v>
      </c>
    </row>
    <row r="66" spans="1:1" x14ac:dyDescent="0.35">
      <c r="A66" t="s">
        <v>89</v>
      </c>
    </row>
    <row r="67" spans="1:1" x14ac:dyDescent="0.35">
      <c r="A67" t="s">
        <v>32</v>
      </c>
    </row>
    <row r="68" spans="1:1" x14ac:dyDescent="0.35">
      <c r="A68" t="s">
        <v>160</v>
      </c>
    </row>
    <row r="69" spans="1:1" x14ac:dyDescent="0.35">
      <c r="A69" t="s">
        <v>112</v>
      </c>
    </row>
    <row r="70" spans="1:1" x14ac:dyDescent="0.35">
      <c r="A70" t="s">
        <v>110</v>
      </c>
    </row>
    <row r="71" spans="1:1" x14ac:dyDescent="0.35">
      <c r="A71" t="s">
        <v>128</v>
      </c>
    </row>
    <row r="72" spans="1:1" x14ac:dyDescent="0.35">
      <c r="A72" t="s">
        <v>103</v>
      </c>
    </row>
    <row r="73" spans="1:1" x14ac:dyDescent="0.35">
      <c r="A73" t="s">
        <v>29</v>
      </c>
    </row>
    <row r="74" spans="1:1" x14ac:dyDescent="0.35">
      <c r="A74" t="s">
        <v>52</v>
      </c>
    </row>
    <row r="75" spans="1:1" x14ac:dyDescent="0.35">
      <c r="A75" t="s">
        <v>25</v>
      </c>
    </row>
    <row r="76" spans="1:1" x14ac:dyDescent="0.35">
      <c r="A76" t="s">
        <v>156</v>
      </c>
    </row>
    <row r="77" spans="1:1" x14ac:dyDescent="0.35">
      <c r="A77" t="s">
        <v>64</v>
      </c>
    </row>
    <row r="78" spans="1:1" x14ac:dyDescent="0.35">
      <c r="A78" t="s">
        <v>67</v>
      </c>
    </row>
    <row r="79" spans="1:1" x14ac:dyDescent="0.35">
      <c r="A79" t="s">
        <v>91</v>
      </c>
    </row>
    <row r="80" spans="1:1" x14ac:dyDescent="0.35">
      <c r="A80" t="s">
        <v>38</v>
      </c>
    </row>
    <row r="81" spans="1:1" x14ac:dyDescent="0.35">
      <c r="A81" t="s">
        <v>113</v>
      </c>
    </row>
    <row r="82" spans="1:1" x14ac:dyDescent="0.35">
      <c r="A82" t="s">
        <v>35</v>
      </c>
    </row>
    <row r="83" spans="1:1" x14ac:dyDescent="0.35">
      <c r="A83" t="s">
        <v>24</v>
      </c>
    </row>
    <row r="84" spans="1:1" x14ac:dyDescent="0.35">
      <c r="A84" t="s">
        <v>97</v>
      </c>
    </row>
    <row r="85" spans="1:1" x14ac:dyDescent="0.35">
      <c r="A85" t="s">
        <v>99</v>
      </c>
    </row>
    <row r="86" spans="1:1" x14ac:dyDescent="0.35">
      <c r="A86" t="s">
        <v>101</v>
      </c>
    </row>
    <row r="87" spans="1:1" x14ac:dyDescent="0.35">
      <c r="A87" t="s">
        <v>51</v>
      </c>
    </row>
    <row r="88" spans="1:1" x14ac:dyDescent="0.35">
      <c r="A88" t="s">
        <v>17</v>
      </c>
    </row>
    <row r="89" spans="1:1" x14ac:dyDescent="0.35">
      <c r="A89" t="s">
        <v>111</v>
      </c>
    </row>
    <row r="90" spans="1:1" x14ac:dyDescent="0.35">
      <c r="A90" t="s">
        <v>19</v>
      </c>
    </row>
    <row r="91" spans="1:1" x14ac:dyDescent="0.35">
      <c r="A91" t="s">
        <v>95</v>
      </c>
    </row>
    <row r="92" spans="1:1" x14ac:dyDescent="0.35">
      <c r="A92" t="s">
        <v>45</v>
      </c>
    </row>
    <row r="93" spans="1:1" x14ac:dyDescent="0.35">
      <c r="A93" t="s">
        <v>20</v>
      </c>
    </row>
    <row r="94" spans="1:1" x14ac:dyDescent="0.35">
      <c r="A94" t="s">
        <v>18</v>
      </c>
    </row>
    <row r="95" spans="1:1" x14ac:dyDescent="0.35">
      <c r="A95" t="s">
        <v>138</v>
      </c>
    </row>
  </sheetData>
  <sortState xmlns:xlrd2="http://schemas.microsoft.com/office/spreadsheetml/2017/richdata2" ref="A2:A95">
    <sortCondition ref="A2:A95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3462B-9BD8-4F37-A440-697A9995A13E}">
  <dimension ref="A1:A4"/>
  <sheetViews>
    <sheetView workbookViewId="0">
      <selection activeCell="A5" sqref="A5"/>
    </sheetView>
  </sheetViews>
  <sheetFormatPr baseColWidth="10" defaultRowHeight="14.5" x14ac:dyDescent="0.35"/>
  <sheetData>
    <row r="1" spans="1:1" x14ac:dyDescent="0.35">
      <c r="A1" t="s">
        <v>216</v>
      </c>
    </row>
    <row r="2" spans="1:1" x14ac:dyDescent="0.35">
      <c r="A2" t="s">
        <v>238</v>
      </c>
    </row>
    <row r="3" spans="1:1" x14ac:dyDescent="0.35">
      <c r="A3" t="s">
        <v>239</v>
      </c>
    </row>
    <row r="4" spans="1:1" x14ac:dyDescent="0.35">
      <c r="A4" t="s">
        <v>240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Resumen</vt:lpstr>
      <vt:lpstr>Cassette</vt:lpstr>
      <vt:lpstr>Condensadoras</vt:lpstr>
      <vt:lpstr>Gases</vt:lpstr>
      <vt:lpstr>AVERIAS</vt:lpstr>
      <vt:lpstr>PARAM_GASES</vt:lpstr>
      <vt:lpstr>PARAM_MARCAS</vt:lpstr>
      <vt:lpstr>PARAM_MODELOS_CAS</vt:lpstr>
      <vt:lpstr>PARAM_MODELOS_COND</vt:lpstr>
      <vt:lpstr>PARAM_PLANTAS</vt:lpstr>
      <vt:lpstr>PARAM_LOC_COND</vt:lpstr>
      <vt:lpstr>PARAM_UBICACIONES_CASSETTES</vt:lpstr>
      <vt:lpstr>PARAM_ESTADO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Ruben Masip</dc:creator>
  <cp:keywords/>
  <dc:description/>
  <cp:lastModifiedBy>kimo x x</cp:lastModifiedBy>
  <cp:revision/>
  <dcterms:created xsi:type="dcterms:W3CDTF">2015-06-05T18:19:34Z</dcterms:created>
  <dcterms:modified xsi:type="dcterms:W3CDTF">2026-02-21T13:40:42Z</dcterms:modified>
  <cp:category/>
  <cp:contentStatus/>
</cp:coreProperties>
</file>